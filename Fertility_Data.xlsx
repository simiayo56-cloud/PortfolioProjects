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XWELL\Documents\"/>
    </mc:Choice>
  </mc:AlternateContent>
  <bookViews>
    <workbookView xWindow="-60" yWindow="-60" windowWidth="15480" windowHeight="11640" firstSheet="1" activeTab="2"/>
  </bookViews>
  <sheets>
    <sheet name="Fertility_Data" sheetId="1" r:id="rId1"/>
    <sheet name="Supporting Pivots" sheetId="2" r:id="rId2"/>
    <sheet name="Fertility_Dashboard" sheetId="3" r:id="rId3"/>
  </sheets>
  <definedNames>
    <definedName name="_xlnm._FilterDatabase" localSheetId="0" hidden="1">Fertility_Data!$A$1:$K$101</definedName>
    <definedName name="Slicer_Age_group">#N/A</definedName>
    <definedName name="Slicer_Diagnosis">#N/A</definedName>
    <definedName name="Slicer_Frequency_of_alcohol_consumption">#N/A</definedName>
    <definedName name="Slicer_Season">#N/A</definedName>
    <definedName name="Slicer_Smoking_habit">#N/A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alcChain>
</file>

<file path=xl/sharedStrings.xml><?xml version="1.0" encoding="utf-8"?>
<sst xmlns="http://schemas.openxmlformats.org/spreadsheetml/2006/main" count="913" uniqueCount="42">
  <si>
    <t>Season</t>
  </si>
  <si>
    <t>Age</t>
  </si>
  <si>
    <t>Age group</t>
  </si>
  <si>
    <t>Childish diseases</t>
  </si>
  <si>
    <t>Accident or serious trauma</t>
  </si>
  <si>
    <t>Surgical intervention</t>
  </si>
  <si>
    <t>High fevers in the last year</t>
  </si>
  <si>
    <t>Frequency of alcohol consumption</t>
  </si>
  <si>
    <t>Smoking habit</t>
  </si>
  <si>
    <t>Number of hours spent sitting per day</t>
  </si>
  <si>
    <t>Diagnosis</t>
  </si>
  <si>
    <t>spring</t>
  </si>
  <si>
    <t>no</t>
  </si>
  <si>
    <t>yes</t>
  </si>
  <si>
    <t>more than 3 months ago</t>
  </si>
  <si>
    <t>once a week</t>
  </si>
  <si>
    <t>occasional</t>
  </si>
  <si>
    <t>Normal</t>
  </si>
  <si>
    <t>daily</t>
  </si>
  <si>
    <t>Altered</t>
  </si>
  <si>
    <t>hardly ever or never</t>
  </si>
  <si>
    <t>never</t>
  </si>
  <si>
    <t>less than 3 months ago</t>
  </si>
  <si>
    <t>several times a week</t>
  </si>
  <si>
    <t>fall</t>
  </si>
  <si>
    <t>several times a day</t>
  </si>
  <si>
    <t>winter</t>
  </si>
  <si>
    <t>every day</t>
  </si>
  <si>
    <t>summer</t>
  </si>
  <si>
    <t>Count of Diagnosis</t>
  </si>
  <si>
    <t>Grand Total</t>
  </si>
  <si>
    <t>26-29</t>
  </si>
  <si>
    <t>30-33</t>
  </si>
  <si>
    <t>34-36</t>
  </si>
  <si>
    <t>1-3</t>
  </si>
  <si>
    <t>4-6</t>
  </si>
  <si>
    <t>7-9</t>
  </si>
  <si>
    <t>10-12</t>
  </si>
  <si>
    <t>13-15</t>
  </si>
  <si>
    <t>16-18</t>
  </si>
  <si>
    <t>+</t>
  </si>
  <si>
    <t>FERTILITY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</si>
</sst>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33" borderId="0" xfId="0" applyFill="1"/>
    <xf numFmtId="0" fontId="0" fillId="0" borderId="0" xfId="0" applyNumberFormat="1"/>
    <xf numFmtId="10" fontId="0" fillId="0" borderId="0" xfId="0" applyNumberFormat="1"/>
    <xf numFmtId="0" fontId="0" fillId="0" borderId="0" xfId="0" applyFill="1"/>
    <xf numFmtId="0" fontId="0" fillId="33" borderId="0" xfId="0"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Pivots!PT01_Smoking_Habit</c:name>
    <c:fmtId val="4"/>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Smoking Habit</a:t>
            </a:r>
          </a:p>
        </c:rich>
      </c:tx>
      <c:layout>
        <c:manualLayout>
          <c:xMode val="edge"/>
          <c:yMode val="edge"/>
          <c:x val="0.3041358227733969"/>
          <c:y val="4.16670530058812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ED7D31"/>
          </a:solidFill>
          <a:ln w="254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Pivots'!$B$3:$B$4</c:f>
              <c:strCache>
                <c:ptCount val="1"/>
                <c:pt idx="0">
                  <c:v>Altered</c:v>
                </c:pt>
              </c:strCache>
            </c:strRef>
          </c:tx>
          <c:spPr>
            <a:solidFill>
              <a:schemeClr val="accent1"/>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Pivots'!$A$5:$A$8</c:f>
              <c:strCache>
                <c:ptCount val="3"/>
                <c:pt idx="0">
                  <c:v>daily</c:v>
                </c:pt>
                <c:pt idx="1">
                  <c:v>never</c:v>
                </c:pt>
                <c:pt idx="2">
                  <c:v>occasional</c:v>
                </c:pt>
              </c:strCache>
            </c:strRef>
          </c:cat>
          <c:val>
            <c:numRef>
              <c:f>'Supporting Pivots'!$B$5:$B$8</c:f>
              <c:numCache>
                <c:formatCode>General</c:formatCode>
                <c:ptCount val="3"/>
                <c:pt idx="0">
                  <c:v>3</c:v>
                </c:pt>
                <c:pt idx="1">
                  <c:v>6</c:v>
                </c:pt>
                <c:pt idx="2">
                  <c:v>3</c:v>
                </c:pt>
              </c:numCache>
            </c:numRef>
          </c:val>
          <c:extLst>
            <c:ext xmlns:c16="http://schemas.microsoft.com/office/drawing/2014/chart" uri="{C3380CC4-5D6E-409C-BE32-E72D297353CC}">
              <c16:uniqueId val="{00000000-2726-4CC4-96A0-1F23FFBC92A1}"/>
            </c:ext>
          </c:extLst>
        </c:ser>
        <c:ser>
          <c:idx val="1"/>
          <c:order val="1"/>
          <c:tx>
            <c:strRef>
              <c:f>'Supporting Pivots'!$C$3:$C$4</c:f>
              <c:strCache>
                <c:ptCount val="1"/>
                <c:pt idx="0">
                  <c:v>Normal</c:v>
                </c:pt>
              </c:strCache>
            </c:strRef>
          </c:tx>
          <c:spPr>
            <a:solidFill>
              <a:srgbClr val="ED7D31"/>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Pivots'!$A$5:$A$8</c:f>
              <c:strCache>
                <c:ptCount val="3"/>
                <c:pt idx="0">
                  <c:v>daily</c:v>
                </c:pt>
                <c:pt idx="1">
                  <c:v>never</c:v>
                </c:pt>
                <c:pt idx="2">
                  <c:v>occasional</c:v>
                </c:pt>
              </c:strCache>
            </c:strRef>
          </c:cat>
          <c:val>
            <c:numRef>
              <c:f>'Supporting Pivots'!$C$5:$C$8</c:f>
              <c:numCache>
                <c:formatCode>General</c:formatCode>
                <c:ptCount val="3"/>
                <c:pt idx="0">
                  <c:v>18</c:v>
                </c:pt>
                <c:pt idx="1">
                  <c:v>50</c:v>
                </c:pt>
                <c:pt idx="2">
                  <c:v>20</c:v>
                </c:pt>
              </c:numCache>
            </c:numRef>
          </c:val>
          <c:extLst>
            <c:ext xmlns:c16="http://schemas.microsoft.com/office/drawing/2014/chart" uri="{C3380CC4-5D6E-409C-BE32-E72D297353CC}">
              <c16:uniqueId val="{00000000-DC17-409A-8DBC-7016AE3276EF}"/>
            </c:ext>
          </c:extLst>
        </c:ser>
        <c:dLbls>
          <c:showLegendKey val="0"/>
          <c:showVal val="0"/>
          <c:showCatName val="0"/>
          <c:showSerName val="0"/>
          <c:showPercent val="0"/>
          <c:showBubbleSize val="0"/>
        </c:dLbls>
        <c:gapWidth val="219"/>
        <c:overlap val="-27"/>
        <c:axId val="2087437319"/>
        <c:axId val="2087439879"/>
      </c:barChart>
      <c:catAx>
        <c:axId val="2087437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Smoking Habit</a:t>
                </a:r>
              </a:p>
            </c:rich>
          </c:tx>
          <c:layout/>
          <c:overlay val="0"/>
          <c:spPr>
            <a:solidFill>
              <a:srgbClr val="FFFFFF"/>
            </a:solid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39879"/>
        <c:crosses val="autoZero"/>
        <c:auto val="1"/>
        <c:lblAlgn val="ctr"/>
        <c:lblOffset val="100"/>
        <c:noMultiLvlLbl val="0"/>
      </c:catAx>
      <c:valAx>
        <c:axId val="208743987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Diagnosis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37319"/>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Pivots!PT02_Alcohol_Consumption</c:name>
    <c:fmtId val="0"/>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Alcohol Consumption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Pivots'!$G$3:$G$4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Pivots'!$F$5:$F$10</c:f>
              <c:strCache>
                <c:ptCount val="5"/>
                <c:pt idx="0">
                  <c:v>every day</c:v>
                </c:pt>
                <c:pt idx="1">
                  <c:v>hardly ever or never</c:v>
                </c:pt>
                <c:pt idx="2">
                  <c:v>once a week</c:v>
                </c:pt>
                <c:pt idx="3">
                  <c:v>several times a day</c:v>
                </c:pt>
                <c:pt idx="4">
                  <c:v>several times a week</c:v>
                </c:pt>
              </c:strCache>
            </c:strRef>
          </c:cat>
          <c:val>
            <c:numRef>
              <c:f>'Supporting Pivots'!$G$5:$G$10</c:f>
              <c:numCache>
                <c:formatCode>General</c:formatCode>
                <c:ptCount val="5"/>
                <c:pt idx="1">
                  <c:v>2</c:v>
                </c:pt>
                <c:pt idx="2">
                  <c:v>6</c:v>
                </c:pt>
                <c:pt idx="4">
                  <c:v>4</c:v>
                </c:pt>
              </c:numCache>
            </c:numRef>
          </c:val>
          <c:extLst>
            <c:ext xmlns:c16="http://schemas.microsoft.com/office/drawing/2014/chart" uri="{C3380CC4-5D6E-409C-BE32-E72D297353CC}">
              <c16:uniqueId val="{00000000-F24E-48DF-A9CC-89031A4609EA}"/>
            </c:ext>
          </c:extLst>
        </c:ser>
        <c:ser>
          <c:idx val="1"/>
          <c:order val="1"/>
          <c:tx>
            <c:strRef>
              <c:f>'Supporting Pivots'!$H$3:$H$4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Pivots'!$F$5:$F$10</c:f>
              <c:strCache>
                <c:ptCount val="5"/>
                <c:pt idx="0">
                  <c:v>every day</c:v>
                </c:pt>
                <c:pt idx="1">
                  <c:v>hardly ever or never</c:v>
                </c:pt>
                <c:pt idx="2">
                  <c:v>once a week</c:v>
                </c:pt>
                <c:pt idx="3">
                  <c:v>several times a day</c:v>
                </c:pt>
                <c:pt idx="4">
                  <c:v>several times a week</c:v>
                </c:pt>
              </c:strCache>
            </c:strRef>
          </c:cat>
          <c:val>
            <c:numRef>
              <c:f>'Supporting Pivots'!$H$5:$H$10</c:f>
              <c:numCache>
                <c:formatCode>General</c:formatCode>
                <c:ptCount val="5"/>
                <c:pt idx="0">
                  <c:v>1</c:v>
                </c:pt>
                <c:pt idx="1">
                  <c:v>38</c:v>
                </c:pt>
                <c:pt idx="2">
                  <c:v>33</c:v>
                </c:pt>
                <c:pt idx="3">
                  <c:v>1</c:v>
                </c:pt>
                <c:pt idx="4">
                  <c:v>15</c:v>
                </c:pt>
              </c:numCache>
            </c:numRef>
          </c:val>
          <c:extLst>
            <c:ext xmlns:c16="http://schemas.microsoft.com/office/drawing/2014/chart" uri="{C3380CC4-5D6E-409C-BE32-E72D297353CC}">
              <c16:uniqueId val="{00000000-724F-45F1-99BB-06594CCD807F}"/>
            </c:ext>
          </c:extLst>
        </c:ser>
        <c:dLbls>
          <c:showLegendKey val="0"/>
          <c:showVal val="0"/>
          <c:showCatName val="0"/>
          <c:showSerName val="0"/>
          <c:showPercent val="0"/>
          <c:showBubbleSize val="0"/>
        </c:dLbls>
        <c:gapWidth val="219"/>
        <c:overlap val="-27"/>
        <c:axId val="2087420423"/>
        <c:axId val="2087423495"/>
      </c:barChart>
      <c:catAx>
        <c:axId val="20874204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Alcohol Consumption</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23495"/>
        <c:crosses val="autoZero"/>
        <c:auto val="1"/>
        <c:lblAlgn val="ctr"/>
        <c:lblOffset val="100"/>
        <c:noMultiLvlLbl val="0"/>
      </c:catAx>
      <c:valAx>
        <c:axId val="208742349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Diagnosis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20423"/>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Pivots!PT03_High_Fevers</c:name>
    <c:fmtId val="0"/>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High Fevers</a:t>
            </a:r>
          </a:p>
        </c:rich>
      </c:tx>
      <c:layout>
        <c:manualLayout>
          <c:xMode val="edge"/>
          <c:yMode val="edge"/>
          <c:x val="0.40995597796636202"/>
          <c:y val="2.81635920206705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Pivots'!$L$3:$L$4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Pivots'!$K$5:$K$8</c:f>
              <c:strCache>
                <c:ptCount val="3"/>
                <c:pt idx="0">
                  <c:v>less than 3 months ago</c:v>
                </c:pt>
                <c:pt idx="1">
                  <c:v>more than 3 months ago</c:v>
                </c:pt>
                <c:pt idx="2">
                  <c:v>no</c:v>
                </c:pt>
              </c:strCache>
            </c:strRef>
          </c:cat>
          <c:val>
            <c:numRef>
              <c:f>'Supporting Pivots'!$L$5:$L$8</c:f>
              <c:numCache>
                <c:formatCode>General</c:formatCode>
                <c:ptCount val="3"/>
                <c:pt idx="0">
                  <c:v>2</c:v>
                </c:pt>
                <c:pt idx="1">
                  <c:v>8</c:v>
                </c:pt>
                <c:pt idx="2">
                  <c:v>2</c:v>
                </c:pt>
              </c:numCache>
            </c:numRef>
          </c:val>
          <c:extLst>
            <c:ext xmlns:c16="http://schemas.microsoft.com/office/drawing/2014/chart" uri="{C3380CC4-5D6E-409C-BE32-E72D297353CC}">
              <c16:uniqueId val="{00000000-EAE0-44D1-A463-061E107DA3A7}"/>
            </c:ext>
          </c:extLst>
        </c:ser>
        <c:ser>
          <c:idx val="1"/>
          <c:order val="1"/>
          <c:tx>
            <c:strRef>
              <c:f>'Supporting Pivots'!$M$3:$M$4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Pivots'!$K$5:$K$8</c:f>
              <c:strCache>
                <c:ptCount val="3"/>
                <c:pt idx="0">
                  <c:v>less than 3 months ago</c:v>
                </c:pt>
                <c:pt idx="1">
                  <c:v>more than 3 months ago</c:v>
                </c:pt>
                <c:pt idx="2">
                  <c:v>no</c:v>
                </c:pt>
              </c:strCache>
            </c:strRef>
          </c:cat>
          <c:val>
            <c:numRef>
              <c:f>'Supporting Pivots'!$M$5:$M$8</c:f>
              <c:numCache>
                <c:formatCode>General</c:formatCode>
                <c:ptCount val="3"/>
                <c:pt idx="0">
                  <c:v>7</c:v>
                </c:pt>
                <c:pt idx="1">
                  <c:v>55</c:v>
                </c:pt>
                <c:pt idx="2">
                  <c:v>26</c:v>
                </c:pt>
              </c:numCache>
            </c:numRef>
          </c:val>
          <c:extLst>
            <c:ext xmlns:c16="http://schemas.microsoft.com/office/drawing/2014/chart" uri="{C3380CC4-5D6E-409C-BE32-E72D297353CC}">
              <c16:uniqueId val="{00000000-707E-4222-BEA7-FAB8A1B812C8}"/>
            </c:ext>
          </c:extLst>
        </c:ser>
        <c:dLbls>
          <c:showLegendKey val="0"/>
          <c:showVal val="0"/>
          <c:showCatName val="0"/>
          <c:showSerName val="0"/>
          <c:showPercent val="0"/>
          <c:showBubbleSize val="0"/>
        </c:dLbls>
        <c:gapWidth val="219"/>
        <c:overlap val="-27"/>
        <c:axId val="144901128"/>
        <c:axId val="318145032"/>
      </c:barChart>
      <c:catAx>
        <c:axId val="144901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High Fevers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45032"/>
        <c:crosses val="autoZero"/>
        <c:auto val="1"/>
        <c:lblAlgn val="ctr"/>
        <c:lblOffset val="100"/>
        <c:noMultiLvlLbl val="0"/>
      </c:catAx>
      <c:valAx>
        <c:axId val="318145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Diagnosis</a:t>
                </a:r>
                <a:endParaRPr lang="en-US" sz="1000">
                  <a:effectLst/>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1128"/>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Pivots!PT04_Childish_diseases</c:name>
    <c:fmtId val="0"/>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Childish Diseases</a:t>
            </a:r>
          </a:p>
        </c:rich>
      </c:tx>
      <c:layout>
        <c:manualLayout>
          <c:xMode val="edge"/>
          <c:yMode val="edge"/>
          <c:x val="0.27592818379506456"/>
          <c:y val="3.12501332863456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Pivots'!$Q$3:$Q$4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Pivots'!$P$5:$P$7</c:f>
              <c:strCache>
                <c:ptCount val="2"/>
                <c:pt idx="0">
                  <c:v>no</c:v>
                </c:pt>
                <c:pt idx="1">
                  <c:v>yes</c:v>
                </c:pt>
              </c:strCache>
            </c:strRef>
          </c:cat>
          <c:val>
            <c:numRef>
              <c:f>'Supporting Pivots'!$Q$5:$Q$7</c:f>
              <c:numCache>
                <c:formatCode>General</c:formatCode>
                <c:ptCount val="2"/>
                <c:pt idx="0">
                  <c:v>2</c:v>
                </c:pt>
                <c:pt idx="1">
                  <c:v>10</c:v>
                </c:pt>
              </c:numCache>
            </c:numRef>
          </c:val>
          <c:extLst>
            <c:ext xmlns:c16="http://schemas.microsoft.com/office/drawing/2014/chart" uri="{C3380CC4-5D6E-409C-BE32-E72D297353CC}">
              <c16:uniqueId val="{00000000-B326-4990-953F-5CA8E868AF48}"/>
            </c:ext>
          </c:extLst>
        </c:ser>
        <c:ser>
          <c:idx val="1"/>
          <c:order val="1"/>
          <c:tx>
            <c:strRef>
              <c:f>'Supporting Pivots'!$R$3:$R$4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Pivots'!$P$5:$P$7</c:f>
              <c:strCache>
                <c:ptCount val="2"/>
                <c:pt idx="0">
                  <c:v>no</c:v>
                </c:pt>
                <c:pt idx="1">
                  <c:v>yes</c:v>
                </c:pt>
              </c:strCache>
            </c:strRef>
          </c:cat>
          <c:val>
            <c:numRef>
              <c:f>'Supporting Pivots'!$R$5:$R$7</c:f>
              <c:numCache>
                <c:formatCode>General</c:formatCode>
                <c:ptCount val="2"/>
                <c:pt idx="0">
                  <c:v>11</c:v>
                </c:pt>
                <c:pt idx="1">
                  <c:v>77</c:v>
                </c:pt>
              </c:numCache>
            </c:numRef>
          </c:val>
          <c:extLst>
            <c:ext xmlns:c16="http://schemas.microsoft.com/office/drawing/2014/chart" uri="{C3380CC4-5D6E-409C-BE32-E72D297353CC}">
              <c16:uniqueId val="{00000000-B3E4-4BB2-9662-1F80C438DF14}"/>
            </c:ext>
          </c:extLst>
        </c:ser>
        <c:dLbls>
          <c:showLegendKey val="0"/>
          <c:showVal val="0"/>
          <c:showCatName val="0"/>
          <c:showSerName val="0"/>
          <c:showPercent val="0"/>
          <c:showBubbleSize val="0"/>
        </c:dLbls>
        <c:gapWidth val="219"/>
        <c:overlap val="-27"/>
        <c:axId val="318156296"/>
        <c:axId val="2088875527"/>
      </c:barChart>
      <c:catAx>
        <c:axId val="318156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Childish</a:t>
                </a:r>
                <a:r>
                  <a:rPr lang="en-US" baseline="0">
                    <a:solidFill>
                      <a:sysClr val="windowText" lastClr="000000"/>
                    </a:solidFill>
                  </a:rPr>
                  <a:t> Diseases</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875527"/>
        <c:crosses val="autoZero"/>
        <c:auto val="1"/>
        <c:lblAlgn val="ctr"/>
        <c:lblOffset val="100"/>
        <c:noMultiLvlLbl val="0"/>
      </c:catAx>
      <c:valAx>
        <c:axId val="2088875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DIagnosis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56296"/>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Pivots!PT05_Surgical_intervention</c:name>
    <c:fmtId val="0"/>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Surgical Intervention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Pivots'!$V$3:$V$4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Pivots'!$U$5:$U$7</c:f>
              <c:strCache>
                <c:ptCount val="2"/>
                <c:pt idx="0">
                  <c:v>no</c:v>
                </c:pt>
                <c:pt idx="1">
                  <c:v>yes</c:v>
                </c:pt>
              </c:strCache>
            </c:strRef>
          </c:cat>
          <c:val>
            <c:numRef>
              <c:f>'Supporting Pivots'!$V$5:$V$7</c:f>
              <c:numCache>
                <c:formatCode>General</c:formatCode>
                <c:ptCount val="2"/>
                <c:pt idx="0">
                  <c:v>5</c:v>
                </c:pt>
                <c:pt idx="1">
                  <c:v>7</c:v>
                </c:pt>
              </c:numCache>
            </c:numRef>
          </c:val>
          <c:extLst>
            <c:ext xmlns:c16="http://schemas.microsoft.com/office/drawing/2014/chart" uri="{C3380CC4-5D6E-409C-BE32-E72D297353CC}">
              <c16:uniqueId val="{00000000-EB8B-4FC6-8621-949FBCD9EA7A}"/>
            </c:ext>
          </c:extLst>
        </c:ser>
        <c:ser>
          <c:idx val="1"/>
          <c:order val="1"/>
          <c:tx>
            <c:strRef>
              <c:f>'Supporting Pivots'!$W$3:$W$4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Pivots'!$U$5:$U$7</c:f>
              <c:strCache>
                <c:ptCount val="2"/>
                <c:pt idx="0">
                  <c:v>no</c:v>
                </c:pt>
                <c:pt idx="1">
                  <c:v>yes</c:v>
                </c:pt>
              </c:strCache>
            </c:strRef>
          </c:cat>
          <c:val>
            <c:numRef>
              <c:f>'Supporting Pivots'!$W$5:$W$7</c:f>
              <c:numCache>
                <c:formatCode>General</c:formatCode>
                <c:ptCount val="2"/>
                <c:pt idx="0">
                  <c:v>44</c:v>
                </c:pt>
                <c:pt idx="1">
                  <c:v>44</c:v>
                </c:pt>
              </c:numCache>
            </c:numRef>
          </c:val>
          <c:extLst>
            <c:ext xmlns:c16="http://schemas.microsoft.com/office/drawing/2014/chart" uri="{C3380CC4-5D6E-409C-BE32-E72D297353CC}">
              <c16:uniqueId val="{00000000-4F94-454A-ADAE-8AC194781FD6}"/>
            </c:ext>
          </c:extLst>
        </c:ser>
        <c:dLbls>
          <c:showLegendKey val="0"/>
          <c:showVal val="0"/>
          <c:showCatName val="0"/>
          <c:showSerName val="0"/>
          <c:showPercent val="0"/>
          <c:showBubbleSize val="0"/>
        </c:dLbls>
        <c:gapWidth val="219"/>
        <c:overlap val="-27"/>
        <c:axId val="318165000"/>
        <c:axId val="318167048"/>
      </c:barChart>
      <c:catAx>
        <c:axId val="318165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Surgical Intervention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67048"/>
        <c:crosses val="autoZero"/>
        <c:auto val="1"/>
        <c:lblAlgn val="ctr"/>
        <c:lblOffset val="100"/>
        <c:noMultiLvlLbl val="0"/>
      </c:catAx>
      <c:valAx>
        <c:axId val="318167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Diagnosis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65000"/>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Pivots!PT06_Accident_or_Serious_Trauma</c:name>
    <c:fmtId val="0"/>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Accident or Serious Truama</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Pivots'!$AA$3:$AA$4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Pivots'!$Z$5:$Z$7</c:f>
              <c:strCache>
                <c:ptCount val="2"/>
                <c:pt idx="0">
                  <c:v>no</c:v>
                </c:pt>
                <c:pt idx="1">
                  <c:v>yes</c:v>
                </c:pt>
              </c:strCache>
            </c:strRef>
          </c:cat>
          <c:val>
            <c:numRef>
              <c:f>'Supporting Pivots'!$AA$5:$AA$7</c:f>
              <c:numCache>
                <c:formatCode>General</c:formatCode>
                <c:ptCount val="2"/>
                <c:pt idx="0">
                  <c:v>9</c:v>
                </c:pt>
                <c:pt idx="1">
                  <c:v>3</c:v>
                </c:pt>
              </c:numCache>
            </c:numRef>
          </c:val>
          <c:extLst>
            <c:ext xmlns:c16="http://schemas.microsoft.com/office/drawing/2014/chart" uri="{C3380CC4-5D6E-409C-BE32-E72D297353CC}">
              <c16:uniqueId val="{00000000-C947-41B8-94D4-ECC37279C607}"/>
            </c:ext>
          </c:extLst>
        </c:ser>
        <c:ser>
          <c:idx val="1"/>
          <c:order val="1"/>
          <c:tx>
            <c:strRef>
              <c:f>'Supporting Pivots'!$AB$3:$AB$4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Pivots'!$Z$5:$Z$7</c:f>
              <c:strCache>
                <c:ptCount val="2"/>
                <c:pt idx="0">
                  <c:v>no</c:v>
                </c:pt>
                <c:pt idx="1">
                  <c:v>yes</c:v>
                </c:pt>
              </c:strCache>
            </c:strRef>
          </c:cat>
          <c:val>
            <c:numRef>
              <c:f>'Supporting Pivots'!$AB$5:$AB$7</c:f>
              <c:numCache>
                <c:formatCode>General</c:formatCode>
                <c:ptCount val="2"/>
                <c:pt idx="0">
                  <c:v>47</c:v>
                </c:pt>
                <c:pt idx="1">
                  <c:v>41</c:v>
                </c:pt>
              </c:numCache>
            </c:numRef>
          </c:val>
          <c:extLst>
            <c:ext xmlns:c16="http://schemas.microsoft.com/office/drawing/2014/chart" uri="{C3380CC4-5D6E-409C-BE32-E72D297353CC}">
              <c16:uniqueId val="{00000000-30B4-4C7E-B837-F3A7581B2E8B}"/>
            </c:ext>
          </c:extLst>
        </c:ser>
        <c:dLbls>
          <c:showLegendKey val="0"/>
          <c:showVal val="0"/>
          <c:showCatName val="0"/>
          <c:showSerName val="0"/>
          <c:showPercent val="0"/>
          <c:showBubbleSize val="0"/>
        </c:dLbls>
        <c:gapWidth val="219"/>
        <c:overlap val="-27"/>
        <c:axId val="2146081287"/>
        <c:axId val="2146098695"/>
      </c:barChart>
      <c:catAx>
        <c:axId val="2146081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Accident or Serious Truama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98695"/>
        <c:crosses val="autoZero"/>
        <c:auto val="1"/>
        <c:lblAlgn val="ctr"/>
        <c:lblOffset val="100"/>
        <c:noMultiLvlLbl val="0"/>
      </c:catAx>
      <c:valAx>
        <c:axId val="2146098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solidFill>
                      <a:sysClr val="windowText" lastClr="000000"/>
                    </a:solidFill>
                    <a:effectLst/>
                  </a:rPr>
                  <a:t>Diagnosis</a:t>
                </a:r>
                <a:endParaRPr lang="en-US" sz="1000">
                  <a:solidFill>
                    <a:sysClr val="windowText" lastClr="000000"/>
                  </a:solidFill>
                  <a:effectLst/>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81287"/>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Pivots!PT07_Age</c:name>
    <c:fmtId val="7"/>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Age</a:t>
            </a:r>
          </a:p>
        </c:rich>
      </c:tx>
      <c:layout>
        <c:manualLayout>
          <c:xMode val="edge"/>
          <c:yMode val="edge"/>
          <c:x val="0.38750000000000001"/>
          <c:y val="3.50693596733940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'Supporting Pivots'!$B$30:$B$31</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Pivots'!$A$32:$A$42</c:f>
              <c:strCache>
                <c:ptCount val="10"/>
                <c:pt idx="0">
                  <c:v>27</c:v>
                </c:pt>
                <c:pt idx="1">
                  <c:v>28</c:v>
                </c:pt>
                <c:pt idx="2">
                  <c:v>29</c:v>
                </c:pt>
                <c:pt idx="3">
                  <c:v>30</c:v>
                </c:pt>
                <c:pt idx="4">
                  <c:v>31</c:v>
                </c:pt>
                <c:pt idx="5">
                  <c:v>32</c:v>
                </c:pt>
                <c:pt idx="6">
                  <c:v>33</c:v>
                </c:pt>
                <c:pt idx="7">
                  <c:v>34</c:v>
                </c:pt>
                <c:pt idx="8">
                  <c:v>35</c:v>
                </c:pt>
                <c:pt idx="9">
                  <c:v>36</c:v>
                </c:pt>
              </c:strCache>
            </c:strRef>
          </c:cat>
          <c:val>
            <c:numRef>
              <c:f>'Supporting Pivots'!$B$32:$B$42</c:f>
              <c:numCache>
                <c:formatCode>General</c:formatCode>
                <c:ptCount val="10"/>
                <c:pt idx="0">
                  <c:v>1</c:v>
                </c:pt>
                <c:pt idx="3">
                  <c:v>7</c:v>
                </c:pt>
                <c:pt idx="5">
                  <c:v>3</c:v>
                </c:pt>
                <c:pt idx="8">
                  <c:v>1</c:v>
                </c:pt>
              </c:numCache>
            </c:numRef>
          </c:val>
          <c:extLst>
            <c:ext xmlns:c16="http://schemas.microsoft.com/office/drawing/2014/chart" uri="{C3380CC4-5D6E-409C-BE32-E72D297353CC}">
              <c16:uniqueId val="{00000000-8629-4880-9106-4D104ACD91F0}"/>
            </c:ext>
          </c:extLst>
        </c:ser>
        <c:ser>
          <c:idx val="1"/>
          <c:order val="1"/>
          <c:tx>
            <c:strRef>
              <c:f>'Supporting Pivots'!$C$30:$C$31</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Pivots'!$A$32:$A$42</c:f>
              <c:strCache>
                <c:ptCount val="10"/>
                <c:pt idx="0">
                  <c:v>27</c:v>
                </c:pt>
                <c:pt idx="1">
                  <c:v>28</c:v>
                </c:pt>
                <c:pt idx="2">
                  <c:v>29</c:v>
                </c:pt>
                <c:pt idx="3">
                  <c:v>30</c:v>
                </c:pt>
                <c:pt idx="4">
                  <c:v>31</c:v>
                </c:pt>
                <c:pt idx="5">
                  <c:v>32</c:v>
                </c:pt>
                <c:pt idx="6">
                  <c:v>33</c:v>
                </c:pt>
                <c:pt idx="7">
                  <c:v>34</c:v>
                </c:pt>
                <c:pt idx="8">
                  <c:v>35</c:v>
                </c:pt>
                <c:pt idx="9">
                  <c:v>36</c:v>
                </c:pt>
              </c:strCache>
            </c:strRef>
          </c:cat>
          <c:val>
            <c:numRef>
              <c:f>'Supporting Pivots'!$C$32:$C$42</c:f>
              <c:numCache>
                <c:formatCode>General</c:formatCode>
                <c:ptCount val="10"/>
                <c:pt idx="0">
                  <c:v>6</c:v>
                </c:pt>
                <c:pt idx="1">
                  <c:v>28</c:v>
                </c:pt>
                <c:pt idx="2">
                  <c:v>5</c:v>
                </c:pt>
                <c:pt idx="3">
                  <c:v>20</c:v>
                </c:pt>
                <c:pt idx="4">
                  <c:v>2</c:v>
                </c:pt>
                <c:pt idx="5">
                  <c:v>14</c:v>
                </c:pt>
                <c:pt idx="6">
                  <c:v>7</c:v>
                </c:pt>
                <c:pt idx="7">
                  <c:v>1</c:v>
                </c:pt>
                <c:pt idx="8">
                  <c:v>3</c:v>
                </c:pt>
                <c:pt idx="9">
                  <c:v>2</c:v>
                </c:pt>
              </c:numCache>
            </c:numRef>
          </c:val>
          <c:extLst>
            <c:ext xmlns:c16="http://schemas.microsoft.com/office/drawing/2014/chart" uri="{C3380CC4-5D6E-409C-BE32-E72D297353CC}">
              <c16:uniqueId val="{00000000-74B3-4D8E-9C7D-3BDE9F17C72A}"/>
            </c:ext>
          </c:extLst>
        </c:ser>
        <c:dLbls>
          <c:showLegendKey val="0"/>
          <c:showVal val="0"/>
          <c:showCatName val="0"/>
          <c:showSerName val="0"/>
          <c:showPercent val="0"/>
          <c:showBubbleSize val="0"/>
        </c:dLbls>
        <c:gapWidth val="219"/>
        <c:overlap val="-27"/>
        <c:axId val="927106055"/>
        <c:axId val="978912775"/>
      </c:barChart>
      <c:catAx>
        <c:axId val="9271060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12775"/>
        <c:crosses val="autoZero"/>
        <c:auto val="1"/>
        <c:lblAlgn val="ctr"/>
        <c:lblOffset val="100"/>
        <c:noMultiLvlLbl val="0"/>
      </c:catAx>
      <c:valAx>
        <c:axId val="9789127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Diagnosis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106055"/>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Pivots!PT08_Season</c:name>
    <c:fmtId val="10"/>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Count of Season</a:t>
            </a:r>
          </a:p>
        </c:rich>
      </c:tx>
      <c:layout>
        <c:manualLayout>
          <c:xMode val="edge"/>
          <c:yMode val="edge"/>
          <c:x val="0.35904694144181382"/>
          <c:y val="3.36315252260134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'Supporting Pivots'!$G$30:$G$31</c:f>
              <c:strCache>
                <c:ptCount val="1"/>
                <c:pt idx="0">
                  <c:v>Altered</c:v>
                </c:pt>
              </c:strCache>
            </c:strRef>
          </c:tx>
          <c:spPr>
            <a:solidFill>
              <a:schemeClr val="accent1"/>
            </a:solidFill>
            <a:ln>
              <a:noFill/>
            </a:ln>
            <a:effectLst/>
          </c:spPr>
          <c:invertIfNegative val="0"/>
          <c:cat>
            <c:strRef>
              <c:f>'Supporting Pivots'!$F$32:$F$36</c:f>
              <c:strCache>
                <c:ptCount val="4"/>
                <c:pt idx="0">
                  <c:v>fall</c:v>
                </c:pt>
                <c:pt idx="1">
                  <c:v>spring</c:v>
                </c:pt>
                <c:pt idx="2">
                  <c:v>summer</c:v>
                </c:pt>
                <c:pt idx="3">
                  <c:v>winter</c:v>
                </c:pt>
              </c:strCache>
            </c:strRef>
          </c:cat>
          <c:val>
            <c:numRef>
              <c:f>'Supporting Pivots'!$G$32:$G$36</c:f>
              <c:numCache>
                <c:formatCode>0.00%</c:formatCode>
                <c:ptCount val="4"/>
                <c:pt idx="0">
                  <c:v>0.19354838709677419</c:v>
                </c:pt>
                <c:pt idx="1">
                  <c:v>0.10810810810810811</c:v>
                </c:pt>
                <c:pt idx="2">
                  <c:v>0.25</c:v>
                </c:pt>
                <c:pt idx="3">
                  <c:v>3.5714285714285712E-2</c:v>
                </c:pt>
              </c:numCache>
            </c:numRef>
          </c:val>
          <c:extLst>
            <c:ext xmlns:c16="http://schemas.microsoft.com/office/drawing/2014/chart" uri="{C3380CC4-5D6E-409C-BE32-E72D297353CC}">
              <c16:uniqueId val="{00000000-F955-48F5-8BDF-89600867FBF5}"/>
            </c:ext>
          </c:extLst>
        </c:ser>
        <c:ser>
          <c:idx val="1"/>
          <c:order val="1"/>
          <c:tx>
            <c:strRef>
              <c:f>'Supporting Pivots'!$H$30:$H$31</c:f>
              <c:strCache>
                <c:ptCount val="1"/>
                <c:pt idx="0">
                  <c:v>Normal</c:v>
                </c:pt>
              </c:strCache>
            </c:strRef>
          </c:tx>
          <c:spPr>
            <a:solidFill>
              <a:schemeClr val="accent2"/>
            </a:solidFill>
            <a:ln>
              <a:noFill/>
            </a:ln>
            <a:effectLst/>
          </c:spPr>
          <c:invertIfNegative val="0"/>
          <c:cat>
            <c:strRef>
              <c:f>'Supporting Pivots'!$F$32:$F$36</c:f>
              <c:strCache>
                <c:ptCount val="4"/>
                <c:pt idx="0">
                  <c:v>fall</c:v>
                </c:pt>
                <c:pt idx="1">
                  <c:v>spring</c:v>
                </c:pt>
                <c:pt idx="2">
                  <c:v>summer</c:v>
                </c:pt>
                <c:pt idx="3">
                  <c:v>winter</c:v>
                </c:pt>
              </c:strCache>
            </c:strRef>
          </c:cat>
          <c:val>
            <c:numRef>
              <c:f>'Supporting Pivots'!$H$32:$H$36</c:f>
              <c:numCache>
                <c:formatCode>0.00%</c:formatCode>
                <c:ptCount val="4"/>
                <c:pt idx="0">
                  <c:v>0.80645161290322576</c:v>
                </c:pt>
                <c:pt idx="1">
                  <c:v>0.89189189189189189</c:v>
                </c:pt>
                <c:pt idx="2">
                  <c:v>0.75</c:v>
                </c:pt>
                <c:pt idx="3">
                  <c:v>0.9642857142857143</c:v>
                </c:pt>
              </c:numCache>
            </c:numRef>
          </c:val>
          <c:extLst>
            <c:ext xmlns:c16="http://schemas.microsoft.com/office/drawing/2014/chart" uri="{C3380CC4-5D6E-409C-BE32-E72D297353CC}">
              <c16:uniqueId val="{00000000-CFEA-48D7-AA85-47013A9E297A}"/>
            </c:ext>
          </c:extLst>
        </c:ser>
        <c:dLbls>
          <c:showLegendKey val="0"/>
          <c:showVal val="0"/>
          <c:showCatName val="0"/>
          <c:showSerName val="0"/>
          <c:showPercent val="0"/>
          <c:showBubbleSize val="0"/>
        </c:dLbls>
        <c:gapWidth val="219"/>
        <c:overlap val="-27"/>
        <c:axId val="868909575"/>
        <c:axId val="868911623"/>
      </c:barChart>
      <c:catAx>
        <c:axId val="868909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Season</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11623"/>
        <c:crosses val="autoZero"/>
        <c:auto val="1"/>
        <c:lblAlgn val="ctr"/>
        <c:lblOffset val="100"/>
        <c:noMultiLvlLbl val="0"/>
      </c:catAx>
      <c:valAx>
        <c:axId val="86891162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Diagnosis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09575"/>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Diagnosis Distribution by Number of Hours Spent Sitting</a:t>
            </a:r>
            <a:endParaRPr lang="en-US">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'Supporting Pivots'!$R$30:$R$31</c:f>
              <c:strCache>
                <c:ptCount val="1"/>
                <c:pt idx="0">
                  <c:v>Altered</c:v>
                </c:pt>
              </c:strCache>
            </c:strRef>
          </c:tx>
          <c:spPr>
            <a:solidFill>
              <a:schemeClr val="accent1"/>
            </a:solidFill>
            <a:ln>
              <a:noFill/>
            </a:ln>
            <a:effectLst/>
          </c:spPr>
          <c:invertIfNegative val="0"/>
          <c:cat>
            <c:strRef>
              <c:f>'Supporting Pivots'!$Q$32:$Q$38</c:f>
              <c:strCache>
                <c:ptCount val="6"/>
                <c:pt idx="0">
                  <c:v>1-3</c:v>
                </c:pt>
                <c:pt idx="1">
                  <c:v>4-6</c:v>
                </c:pt>
                <c:pt idx="2">
                  <c:v>7-9</c:v>
                </c:pt>
                <c:pt idx="3">
                  <c:v>10-12</c:v>
                </c:pt>
                <c:pt idx="4">
                  <c:v>13-15</c:v>
                </c:pt>
                <c:pt idx="5">
                  <c:v>16-18</c:v>
                </c:pt>
              </c:strCache>
            </c:strRef>
          </c:cat>
          <c:val>
            <c:numRef>
              <c:f>'Supporting Pivots'!$R$32:$R$38</c:f>
              <c:numCache>
                <c:formatCode>0.00%</c:formatCode>
                <c:ptCount val="6"/>
                <c:pt idx="0">
                  <c:v>7.6923076923076927E-2</c:v>
                </c:pt>
                <c:pt idx="1">
                  <c:v>7.1428571428571425E-2</c:v>
                </c:pt>
                <c:pt idx="2">
                  <c:v>0.20512820512820512</c:v>
                </c:pt>
                <c:pt idx="3">
                  <c:v>0</c:v>
                </c:pt>
                <c:pt idx="4">
                  <c:v>0</c:v>
                </c:pt>
                <c:pt idx="5">
                  <c:v>0.25</c:v>
                </c:pt>
              </c:numCache>
            </c:numRef>
          </c:val>
          <c:extLst>
            <c:ext xmlns:c16="http://schemas.microsoft.com/office/drawing/2014/chart" uri="{C3380CC4-5D6E-409C-BE32-E72D297353CC}">
              <c16:uniqueId val="{00000000-AD5F-4A6A-AC40-73782BAC74E1}"/>
            </c:ext>
          </c:extLst>
        </c:ser>
        <c:ser>
          <c:idx val="1"/>
          <c:order val="1"/>
          <c:tx>
            <c:strRef>
              <c:f>'Supporting Pivots'!$S$30:$S$31</c:f>
              <c:strCache>
                <c:ptCount val="1"/>
                <c:pt idx="0">
                  <c:v>Normal</c:v>
                </c:pt>
              </c:strCache>
            </c:strRef>
          </c:tx>
          <c:spPr>
            <a:solidFill>
              <a:schemeClr val="accent2"/>
            </a:solidFill>
            <a:ln>
              <a:noFill/>
            </a:ln>
            <a:effectLst/>
          </c:spPr>
          <c:invertIfNegative val="0"/>
          <c:cat>
            <c:strRef>
              <c:f>'Supporting Pivots'!$Q$32:$Q$38</c:f>
              <c:strCache>
                <c:ptCount val="6"/>
                <c:pt idx="0">
                  <c:v>1-3</c:v>
                </c:pt>
                <c:pt idx="1">
                  <c:v>4-6</c:v>
                </c:pt>
                <c:pt idx="2">
                  <c:v>7-9</c:v>
                </c:pt>
                <c:pt idx="3">
                  <c:v>10-12</c:v>
                </c:pt>
                <c:pt idx="4">
                  <c:v>13-15</c:v>
                </c:pt>
                <c:pt idx="5">
                  <c:v>16-18</c:v>
                </c:pt>
              </c:strCache>
            </c:strRef>
          </c:cat>
          <c:val>
            <c:numRef>
              <c:f>'Supporting Pivots'!$S$32:$S$38</c:f>
              <c:numCache>
                <c:formatCode>0.00%</c:formatCode>
                <c:ptCount val="6"/>
                <c:pt idx="0">
                  <c:v>0.92307692307692313</c:v>
                </c:pt>
                <c:pt idx="1">
                  <c:v>0.9285714285714286</c:v>
                </c:pt>
                <c:pt idx="2">
                  <c:v>0.79487179487179482</c:v>
                </c:pt>
                <c:pt idx="3">
                  <c:v>1</c:v>
                </c:pt>
                <c:pt idx="4">
                  <c:v>1</c:v>
                </c:pt>
                <c:pt idx="5">
                  <c:v>0.75</c:v>
                </c:pt>
              </c:numCache>
            </c:numRef>
          </c:val>
          <c:extLst>
            <c:ext xmlns:c16="http://schemas.microsoft.com/office/drawing/2014/chart" uri="{C3380CC4-5D6E-409C-BE32-E72D297353CC}">
              <c16:uniqueId val="{00000000-E89B-4810-89D2-7BF711F1B869}"/>
            </c:ext>
          </c:extLst>
        </c:ser>
        <c:dLbls>
          <c:showLegendKey val="0"/>
          <c:showVal val="0"/>
          <c:showCatName val="0"/>
          <c:showSerName val="0"/>
          <c:showPercent val="0"/>
          <c:showBubbleSize val="0"/>
        </c:dLbls>
        <c:gapWidth val="219"/>
        <c:overlap val="-27"/>
        <c:axId val="262500096"/>
        <c:axId val="262497600"/>
      </c:barChart>
      <c:catAx>
        <c:axId val="262500096"/>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Hrs Spent Sitting</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7600"/>
        <c:crosses val="autoZero"/>
        <c:auto val="1"/>
        <c:lblAlgn val="ctr"/>
        <c:lblOffset val="100"/>
        <c:noMultiLvlLbl val="0"/>
      </c:catAx>
      <c:valAx>
        <c:axId val="2624976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Diagnosis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00096"/>
        <c:crosses val="autoZero"/>
        <c:crossBetween val="between"/>
      </c:valAx>
      <c:spPr>
        <a:noFill/>
        <a:ln>
          <a:noFill/>
        </a:ln>
        <a:effectLst/>
      </c:spPr>
    </c:plotArea>
    <c:legend>
      <c:legendPos val="r"/>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Pivots!PivotTable1</c:name>
    <c:fmtId val="2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'Supporting Pivots'!$M$30:$M$31</c:f>
              <c:strCache>
                <c:ptCount val="1"/>
                <c:pt idx="0">
                  <c:v>Altered</c:v>
                </c:pt>
              </c:strCache>
            </c:strRef>
          </c:tx>
          <c:spPr>
            <a:solidFill>
              <a:schemeClr val="accent1"/>
            </a:solidFill>
            <a:ln>
              <a:noFill/>
            </a:ln>
            <a:effectLst/>
          </c:spPr>
          <c:invertIfNegative val="0"/>
          <c:cat>
            <c:strRef>
              <c:f>'Supporting Pivots'!$L$32:$L$35</c:f>
              <c:strCache>
                <c:ptCount val="3"/>
                <c:pt idx="0">
                  <c:v>26-29</c:v>
                </c:pt>
                <c:pt idx="1">
                  <c:v>30-33</c:v>
                </c:pt>
                <c:pt idx="2">
                  <c:v>34-36</c:v>
                </c:pt>
              </c:strCache>
            </c:strRef>
          </c:cat>
          <c:val>
            <c:numRef>
              <c:f>'Supporting Pivots'!$M$32:$M$35</c:f>
              <c:numCache>
                <c:formatCode>0.00%</c:formatCode>
                <c:ptCount val="3"/>
                <c:pt idx="0">
                  <c:v>2.5000000000000001E-2</c:v>
                </c:pt>
                <c:pt idx="1">
                  <c:v>0.18867924528301888</c:v>
                </c:pt>
                <c:pt idx="2">
                  <c:v>0.14285714285714285</c:v>
                </c:pt>
              </c:numCache>
            </c:numRef>
          </c:val>
          <c:extLst>
            <c:ext xmlns:c16="http://schemas.microsoft.com/office/drawing/2014/chart" uri="{C3380CC4-5D6E-409C-BE32-E72D297353CC}">
              <c16:uniqueId val="{00000000-0494-4D40-B06D-C7F71B4B94F8}"/>
            </c:ext>
          </c:extLst>
        </c:ser>
        <c:ser>
          <c:idx val="1"/>
          <c:order val="1"/>
          <c:tx>
            <c:strRef>
              <c:f>'Supporting Pivots'!$N$30:$N$31</c:f>
              <c:strCache>
                <c:ptCount val="1"/>
                <c:pt idx="0">
                  <c:v>Normal</c:v>
                </c:pt>
              </c:strCache>
            </c:strRef>
          </c:tx>
          <c:spPr>
            <a:solidFill>
              <a:schemeClr val="accent2"/>
            </a:solidFill>
            <a:ln>
              <a:noFill/>
            </a:ln>
            <a:effectLst/>
          </c:spPr>
          <c:invertIfNegative val="0"/>
          <c:cat>
            <c:strRef>
              <c:f>'Supporting Pivots'!$L$32:$L$35</c:f>
              <c:strCache>
                <c:ptCount val="3"/>
                <c:pt idx="0">
                  <c:v>26-29</c:v>
                </c:pt>
                <c:pt idx="1">
                  <c:v>30-33</c:v>
                </c:pt>
                <c:pt idx="2">
                  <c:v>34-36</c:v>
                </c:pt>
              </c:strCache>
            </c:strRef>
          </c:cat>
          <c:val>
            <c:numRef>
              <c:f>'Supporting Pivots'!$N$32:$N$35</c:f>
              <c:numCache>
                <c:formatCode>0.00%</c:formatCode>
                <c:ptCount val="3"/>
                <c:pt idx="0">
                  <c:v>0.97499999999999998</c:v>
                </c:pt>
                <c:pt idx="1">
                  <c:v>0.81132075471698117</c:v>
                </c:pt>
                <c:pt idx="2">
                  <c:v>0.8571428571428571</c:v>
                </c:pt>
              </c:numCache>
            </c:numRef>
          </c:val>
          <c:extLst>
            <c:ext xmlns:c16="http://schemas.microsoft.com/office/drawing/2014/chart" uri="{C3380CC4-5D6E-409C-BE32-E72D297353CC}">
              <c16:uniqueId val="{00000001-0494-4D40-B06D-C7F71B4B94F8}"/>
            </c:ext>
          </c:extLst>
        </c:ser>
        <c:dLbls>
          <c:showLegendKey val="0"/>
          <c:showVal val="0"/>
          <c:showCatName val="0"/>
          <c:showSerName val="0"/>
          <c:showPercent val="0"/>
          <c:showBubbleSize val="0"/>
        </c:dLbls>
        <c:gapWidth val="219"/>
        <c:overlap val="-27"/>
        <c:axId val="225677776"/>
        <c:axId val="225678192"/>
      </c:barChart>
      <c:catAx>
        <c:axId val="2256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78192"/>
        <c:crosses val="autoZero"/>
        <c:auto val="1"/>
        <c:lblAlgn val="ctr"/>
        <c:lblOffset val="100"/>
        <c:noMultiLvlLbl val="0"/>
      </c:catAx>
      <c:valAx>
        <c:axId val="225678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77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Pivots!PivotTable1</c:name>
    <c:fmtId val="2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accent1"/>
                </a:solidFill>
              </a:rPr>
              <a:t>Altered Diagnosis % by Age Group</a:t>
            </a:r>
            <a:endParaRPr lang="en-US" sz="1100" b="1">
              <a:solidFill>
                <a:schemeClr val="accent1"/>
              </a:solidFill>
            </a:endParaRP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'Supporting Pivots'!$M$30:$M$31</c:f>
              <c:strCache>
                <c:ptCount val="1"/>
                <c:pt idx="0">
                  <c:v>Altered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00-447E-A424-2280868FC1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00-447E-A424-2280868FC1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00-447E-A424-2280868FC1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'Supporting Pivots'!$L$32:$L$35</c:f>
              <c:strCache>
                <c:ptCount val="3"/>
                <c:pt idx="0">
                  <c:v>26-29</c:v>
                </c:pt>
                <c:pt idx="1">
                  <c:v>30-33</c:v>
                </c:pt>
                <c:pt idx="2">
                  <c:v>34-36</c:v>
                </c:pt>
              </c:strCache>
            </c:strRef>
          </c:cat>
          <c:val>
            <c:numRef>
              <c:f>'Supporting Pivots'!$M$32:$M$35</c:f>
              <c:numCache>
                <c:formatCode>0.00%</c:formatCode>
                <c:ptCount val="3"/>
                <c:pt idx="0">
                  <c:v>2.5000000000000001E-2</c:v>
                </c:pt>
                <c:pt idx="1">
                  <c:v>0.18867924528301888</c:v>
                </c:pt>
                <c:pt idx="2">
                  <c:v>0.14285714285714285</c:v>
                </c:pt>
              </c:numCache>
            </c:numRef>
          </c:val>
          <c:extLst>
            <c:ext xmlns:c16="http://schemas.microsoft.com/office/drawing/2014/chart" uri="{C3380CC4-5D6E-409C-BE32-E72D297353CC}">
              <c16:uniqueId val="{00000006-5000-447E-A424-2280868FC158}"/>
            </c:ext>
          </c:extLst>
        </c:ser>
        <c:ser>
          <c:idx val="1"/>
          <c:order val="1"/>
          <c:tx>
            <c:strRef>
              <c:f>'Supporting Pivots'!$N$30:$N$31</c:f>
              <c:strCache>
                <c:ptCount val="1"/>
                <c:pt idx="0">
                  <c:v>Normal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 Pivots'!$L$32:$L$35</c:f>
              <c:strCache>
                <c:ptCount val="3"/>
                <c:pt idx="0">
                  <c:v>26-29</c:v>
                </c:pt>
                <c:pt idx="1">
                  <c:v>30-33</c:v>
                </c:pt>
                <c:pt idx="2">
                  <c:v>34-36</c:v>
                </c:pt>
              </c:strCache>
            </c:strRef>
          </c:cat>
          <c:val>
            <c:numRef>
              <c:f>'Supporting Pivots'!$N$32:$N$35</c:f>
              <c:numCache>
                <c:formatCode>0.00%</c:formatCode>
                <c:ptCount val="3"/>
                <c:pt idx="0">
                  <c:v>0.97499999999999998</c:v>
                </c:pt>
                <c:pt idx="1">
                  <c:v>0.81132075471698117</c:v>
                </c:pt>
                <c:pt idx="2">
                  <c:v>0.8571428571428571</c:v>
                </c:pt>
              </c:numCache>
            </c:numRef>
          </c:val>
          <c:extLst>
            <c:ext xmlns:c16="http://schemas.microsoft.com/office/drawing/2014/chart" uri="{C3380CC4-5D6E-409C-BE32-E72D297353CC}">
              <c16:uniqueId val="{0000000C-C194-4F19-A032-BB83872B17D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Pivots!PT08_Season</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baseline="0">
                <a:solidFill>
                  <a:schemeClr val="accent1"/>
                </a:solidFill>
                <a:effectLst/>
              </a:rPr>
              <a:t>Altered Diagnosis % by Season</a:t>
            </a:r>
            <a:endParaRPr lang="en-US" sz="1100">
              <a:solidFill>
                <a:schemeClr val="accent1"/>
              </a:solidFill>
              <a:effectLst/>
            </a:endParaRP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'Supporting Pivots'!$G$30:$G$31</c:f>
              <c:strCache>
                <c:ptCount val="1"/>
                <c:pt idx="0">
                  <c:v>Altered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43-44FC-A110-F6778096A1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43-44FC-A110-F6778096A1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43-44FC-A110-F6778096A1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43-44FC-A110-F6778096A1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'Supporting Pivots'!$F$32:$F$36</c:f>
              <c:strCache>
                <c:ptCount val="4"/>
                <c:pt idx="0">
                  <c:v>fall</c:v>
                </c:pt>
                <c:pt idx="1">
                  <c:v>spring</c:v>
                </c:pt>
                <c:pt idx="2">
                  <c:v>summer</c:v>
                </c:pt>
                <c:pt idx="3">
                  <c:v>winter</c:v>
                </c:pt>
              </c:strCache>
            </c:strRef>
          </c:cat>
          <c:val>
            <c:numRef>
              <c:f>'Supporting Pivots'!$G$32:$G$36</c:f>
              <c:numCache>
                <c:formatCode>0.00%</c:formatCode>
                <c:ptCount val="4"/>
                <c:pt idx="0">
                  <c:v>0.19354838709677419</c:v>
                </c:pt>
                <c:pt idx="1">
                  <c:v>0.10810810810810811</c:v>
                </c:pt>
                <c:pt idx="2">
                  <c:v>0.25</c:v>
                </c:pt>
                <c:pt idx="3">
                  <c:v>3.5714285714285712E-2</c:v>
                </c:pt>
              </c:numCache>
            </c:numRef>
          </c:val>
          <c:extLst>
            <c:ext xmlns:c16="http://schemas.microsoft.com/office/drawing/2014/chart" uri="{C3380CC4-5D6E-409C-BE32-E72D297353CC}">
              <c16:uniqueId val="{00000008-E743-44FC-A110-F6778096A124}"/>
            </c:ext>
          </c:extLst>
        </c:ser>
        <c:ser>
          <c:idx val="1"/>
          <c:order val="1"/>
          <c:tx>
            <c:strRef>
              <c:f>'Supporting Pivots'!$H$30:$H$31</c:f>
              <c:strCache>
                <c:ptCount val="1"/>
                <c:pt idx="0">
                  <c:v>Normal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 Pivots'!$F$32:$F$36</c:f>
              <c:strCache>
                <c:ptCount val="4"/>
                <c:pt idx="0">
                  <c:v>fall</c:v>
                </c:pt>
                <c:pt idx="1">
                  <c:v>spring</c:v>
                </c:pt>
                <c:pt idx="2">
                  <c:v>summer</c:v>
                </c:pt>
                <c:pt idx="3">
                  <c:v>winter</c:v>
                </c:pt>
              </c:strCache>
            </c:strRef>
          </c:cat>
          <c:val>
            <c:numRef>
              <c:f>'Supporting Pivots'!$H$32:$H$36</c:f>
              <c:numCache>
                <c:formatCode>0.00%</c:formatCode>
                <c:ptCount val="4"/>
                <c:pt idx="0">
                  <c:v>0.80645161290322576</c:v>
                </c:pt>
                <c:pt idx="1">
                  <c:v>0.89189189189189189</c:v>
                </c:pt>
                <c:pt idx="2">
                  <c:v>0.75</c:v>
                </c:pt>
                <c:pt idx="3">
                  <c:v>0.9642857142857143</c:v>
                </c:pt>
              </c:numCache>
            </c:numRef>
          </c:val>
          <c:extLst>
            <c:ext xmlns:c16="http://schemas.microsoft.com/office/drawing/2014/chart" uri="{C3380CC4-5D6E-409C-BE32-E72D297353CC}">
              <c16:uniqueId val="{00000010-32F9-4821-BADE-A8BD5B0E076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Pivots!PT02_Alcohol_Consumption</c:name>
    <c:fmtId val="3"/>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sz="1100" b="1" i="0" u="none" strike="noStrike" baseline="0">
                <a:effectLst/>
              </a:rPr>
              <a:t>Diagnosis Distribution by </a:t>
            </a:r>
            <a:r>
              <a:rPr lang="en-US" sz="1100"/>
              <a:t>Alcohol Consumption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Pivots'!$G$3:$G$4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Pivots'!$F$5:$F$10</c:f>
              <c:strCache>
                <c:ptCount val="5"/>
                <c:pt idx="0">
                  <c:v>every day</c:v>
                </c:pt>
                <c:pt idx="1">
                  <c:v>hardly ever or never</c:v>
                </c:pt>
                <c:pt idx="2">
                  <c:v>once a week</c:v>
                </c:pt>
                <c:pt idx="3">
                  <c:v>several times a day</c:v>
                </c:pt>
                <c:pt idx="4">
                  <c:v>several times a week</c:v>
                </c:pt>
              </c:strCache>
            </c:strRef>
          </c:cat>
          <c:val>
            <c:numRef>
              <c:f>'Supporting Pivots'!$G$5:$G$10</c:f>
              <c:numCache>
                <c:formatCode>General</c:formatCode>
                <c:ptCount val="5"/>
                <c:pt idx="1">
                  <c:v>2</c:v>
                </c:pt>
                <c:pt idx="2">
                  <c:v>6</c:v>
                </c:pt>
                <c:pt idx="4">
                  <c:v>4</c:v>
                </c:pt>
              </c:numCache>
            </c:numRef>
          </c:val>
          <c:extLst>
            <c:ext xmlns:c16="http://schemas.microsoft.com/office/drawing/2014/chart" uri="{C3380CC4-5D6E-409C-BE32-E72D297353CC}">
              <c16:uniqueId val="{00000000-10C5-45C0-B43A-66CD68DFD376}"/>
            </c:ext>
          </c:extLst>
        </c:ser>
        <c:ser>
          <c:idx val="1"/>
          <c:order val="1"/>
          <c:tx>
            <c:strRef>
              <c:f>'Supporting Pivots'!$H$3:$H$4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Pivots'!$F$5:$F$10</c:f>
              <c:strCache>
                <c:ptCount val="5"/>
                <c:pt idx="0">
                  <c:v>every day</c:v>
                </c:pt>
                <c:pt idx="1">
                  <c:v>hardly ever or never</c:v>
                </c:pt>
                <c:pt idx="2">
                  <c:v>once a week</c:v>
                </c:pt>
                <c:pt idx="3">
                  <c:v>several times a day</c:v>
                </c:pt>
                <c:pt idx="4">
                  <c:v>several times a week</c:v>
                </c:pt>
              </c:strCache>
            </c:strRef>
          </c:cat>
          <c:val>
            <c:numRef>
              <c:f>'Supporting Pivots'!$H$5:$H$10</c:f>
              <c:numCache>
                <c:formatCode>General</c:formatCode>
                <c:ptCount val="5"/>
                <c:pt idx="0">
                  <c:v>1</c:v>
                </c:pt>
                <c:pt idx="1">
                  <c:v>38</c:v>
                </c:pt>
                <c:pt idx="2">
                  <c:v>33</c:v>
                </c:pt>
                <c:pt idx="3">
                  <c:v>1</c:v>
                </c:pt>
                <c:pt idx="4">
                  <c:v>15</c:v>
                </c:pt>
              </c:numCache>
            </c:numRef>
          </c:val>
          <c:extLst>
            <c:ext xmlns:c16="http://schemas.microsoft.com/office/drawing/2014/chart" uri="{C3380CC4-5D6E-409C-BE32-E72D297353CC}">
              <c16:uniqueId val="{00000000-CBA1-42B9-A171-F8098F806941}"/>
            </c:ext>
          </c:extLst>
        </c:ser>
        <c:dLbls>
          <c:dLblPos val="outEnd"/>
          <c:showLegendKey val="0"/>
          <c:showVal val="1"/>
          <c:showCatName val="0"/>
          <c:showSerName val="0"/>
          <c:showPercent val="0"/>
          <c:showBubbleSize val="0"/>
        </c:dLbls>
        <c:gapWidth val="219"/>
        <c:overlap val="-27"/>
        <c:axId val="2087420423"/>
        <c:axId val="2087423495"/>
      </c:barChart>
      <c:catAx>
        <c:axId val="20874204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Alcohol Consumption</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23495"/>
        <c:crosses val="autoZero"/>
        <c:auto val="1"/>
        <c:lblAlgn val="ctr"/>
        <c:lblOffset val="100"/>
        <c:noMultiLvlLbl val="0"/>
      </c:catAx>
      <c:valAx>
        <c:axId val="208742349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Diagnosis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20423"/>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Pivots!PivotTable2</c:name>
    <c:fmtId val="2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solidFill>
                  <a:schemeClr val="accent1"/>
                </a:solidFill>
                <a:effectLst/>
              </a:rPr>
              <a:t>Diagnosis Distribution by Hours Spent Sitting</a:t>
            </a:r>
            <a:endParaRPr lang="en-US" sz="1100">
              <a:solidFill>
                <a:schemeClr val="accent1"/>
              </a:solidFill>
              <a:effectLst/>
            </a:endParaRP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'Supporting Pivots'!$R$30:$R$31</c:f>
              <c:strCache>
                <c:ptCount val="1"/>
                <c:pt idx="0">
                  <c:v>Altered</c:v>
                </c:pt>
              </c:strCache>
            </c:strRef>
          </c:tx>
          <c:spPr>
            <a:solidFill>
              <a:schemeClr val="accent1"/>
            </a:solidFill>
            <a:ln>
              <a:noFill/>
            </a:ln>
            <a:effectLst/>
          </c:spPr>
          <c:invertIfNegative val="0"/>
          <c:cat>
            <c:strRef>
              <c:f>'Supporting Pivots'!$Q$32:$Q$38</c:f>
              <c:strCache>
                <c:ptCount val="6"/>
                <c:pt idx="0">
                  <c:v>1-3</c:v>
                </c:pt>
                <c:pt idx="1">
                  <c:v>4-6</c:v>
                </c:pt>
                <c:pt idx="2">
                  <c:v>7-9</c:v>
                </c:pt>
                <c:pt idx="3">
                  <c:v>10-12</c:v>
                </c:pt>
                <c:pt idx="4">
                  <c:v>13-15</c:v>
                </c:pt>
                <c:pt idx="5">
                  <c:v>16-18</c:v>
                </c:pt>
              </c:strCache>
            </c:strRef>
          </c:cat>
          <c:val>
            <c:numRef>
              <c:f>'Supporting Pivots'!$R$32:$R$38</c:f>
              <c:numCache>
                <c:formatCode>0.00%</c:formatCode>
                <c:ptCount val="6"/>
                <c:pt idx="0">
                  <c:v>7.6923076923076927E-2</c:v>
                </c:pt>
                <c:pt idx="1">
                  <c:v>7.1428571428571425E-2</c:v>
                </c:pt>
                <c:pt idx="2">
                  <c:v>0.20512820512820512</c:v>
                </c:pt>
                <c:pt idx="3">
                  <c:v>0</c:v>
                </c:pt>
                <c:pt idx="4">
                  <c:v>0</c:v>
                </c:pt>
                <c:pt idx="5">
                  <c:v>0.25</c:v>
                </c:pt>
              </c:numCache>
            </c:numRef>
          </c:val>
          <c:extLst>
            <c:ext xmlns:c16="http://schemas.microsoft.com/office/drawing/2014/chart" uri="{C3380CC4-5D6E-409C-BE32-E72D297353CC}">
              <c16:uniqueId val="{00000000-4522-4DCA-B601-CDD7E912A6D4}"/>
            </c:ext>
          </c:extLst>
        </c:ser>
        <c:ser>
          <c:idx val="1"/>
          <c:order val="1"/>
          <c:tx>
            <c:strRef>
              <c:f>'Supporting Pivots'!$S$30:$S$31</c:f>
              <c:strCache>
                <c:ptCount val="1"/>
                <c:pt idx="0">
                  <c:v>Normal</c:v>
                </c:pt>
              </c:strCache>
            </c:strRef>
          </c:tx>
          <c:spPr>
            <a:solidFill>
              <a:schemeClr val="accent2"/>
            </a:solidFill>
            <a:ln>
              <a:noFill/>
            </a:ln>
            <a:effectLst/>
          </c:spPr>
          <c:invertIfNegative val="0"/>
          <c:cat>
            <c:strRef>
              <c:f>'Supporting Pivots'!$Q$32:$Q$38</c:f>
              <c:strCache>
                <c:ptCount val="6"/>
                <c:pt idx="0">
                  <c:v>1-3</c:v>
                </c:pt>
                <c:pt idx="1">
                  <c:v>4-6</c:v>
                </c:pt>
                <c:pt idx="2">
                  <c:v>7-9</c:v>
                </c:pt>
                <c:pt idx="3">
                  <c:v>10-12</c:v>
                </c:pt>
                <c:pt idx="4">
                  <c:v>13-15</c:v>
                </c:pt>
                <c:pt idx="5">
                  <c:v>16-18</c:v>
                </c:pt>
              </c:strCache>
            </c:strRef>
          </c:cat>
          <c:val>
            <c:numRef>
              <c:f>'Supporting Pivots'!$S$32:$S$38</c:f>
              <c:numCache>
                <c:formatCode>0.00%</c:formatCode>
                <c:ptCount val="6"/>
                <c:pt idx="0">
                  <c:v>0.92307692307692313</c:v>
                </c:pt>
                <c:pt idx="1">
                  <c:v>0.9285714285714286</c:v>
                </c:pt>
                <c:pt idx="2">
                  <c:v>0.79487179487179482</c:v>
                </c:pt>
                <c:pt idx="3">
                  <c:v>1</c:v>
                </c:pt>
                <c:pt idx="4">
                  <c:v>1</c:v>
                </c:pt>
                <c:pt idx="5">
                  <c:v>0.75</c:v>
                </c:pt>
              </c:numCache>
            </c:numRef>
          </c:val>
          <c:extLst>
            <c:ext xmlns:c16="http://schemas.microsoft.com/office/drawing/2014/chart" uri="{C3380CC4-5D6E-409C-BE32-E72D297353CC}">
              <c16:uniqueId val="{00000000-964E-4F24-9647-DE05D7A712C1}"/>
            </c:ext>
          </c:extLst>
        </c:ser>
        <c:dLbls>
          <c:showLegendKey val="0"/>
          <c:showVal val="0"/>
          <c:showCatName val="0"/>
          <c:showSerName val="0"/>
          <c:showPercent val="0"/>
          <c:showBubbleSize val="0"/>
        </c:dLbls>
        <c:gapWidth val="219"/>
        <c:overlap val="-27"/>
        <c:axId val="262500096"/>
        <c:axId val="262497600"/>
      </c:barChart>
      <c:catAx>
        <c:axId val="262500096"/>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Hrs Spent Sitting</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7600"/>
        <c:crosses val="autoZero"/>
        <c:auto val="1"/>
        <c:lblAlgn val="ctr"/>
        <c:lblOffset val="100"/>
        <c:noMultiLvlLbl val="0"/>
      </c:catAx>
      <c:valAx>
        <c:axId val="2624976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Diagnosis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00096"/>
        <c:crosses val="autoZero"/>
        <c:crossBetween val="between"/>
      </c:valAx>
      <c:spPr>
        <a:noFill/>
        <a:ln>
          <a:noFill/>
        </a:ln>
        <a:effectLst/>
      </c:spPr>
    </c:plotArea>
    <c:legend>
      <c:legendPos val="r"/>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Pivots!PT01_Smoking_Habit</c:name>
    <c:fmtId val="9"/>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sz="1200" b="1" i="0" u="none" strike="noStrike" baseline="0">
                <a:effectLst/>
              </a:rPr>
              <a:t>Diagnosis Distribution by </a:t>
            </a:r>
            <a:r>
              <a:rPr lang="en-US" sz="1200"/>
              <a:t>Smoking Habit</a:t>
            </a:r>
          </a:p>
        </c:rich>
      </c:tx>
      <c:layout>
        <c:manualLayout>
          <c:xMode val="edge"/>
          <c:yMode val="edge"/>
          <c:x val="0.17282850963726837"/>
          <c:y val="4.16671356313352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D7D3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ED7D31"/>
          </a:solidFill>
          <a:ln w="254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Pivots'!$B$3:$B$4</c:f>
              <c:strCache>
                <c:ptCount val="1"/>
                <c:pt idx="0">
                  <c:v>Altered</c:v>
                </c:pt>
              </c:strCache>
            </c:strRef>
          </c:tx>
          <c:spPr>
            <a:solidFill>
              <a:schemeClr val="accent1"/>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Pivots'!$A$5:$A$8</c:f>
              <c:strCache>
                <c:ptCount val="3"/>
                <c:pt idx="0">
                  <c:v>daily</c:v>
                </c:pt>
                <c:pt idx="1">
                  <c:v>never</c:v>
                </c:pt>
                <c:pt idx="2">
                  <c:v>occasional</c:v>
                </c:pt>
              </c:strCache>
            </c:strRef>
          </c:cat>
          <c:val>
            <c:numRef>
              <c:f>'Supporting Pivots'!$B$5:$B$8</c:f>
              <c:numCache>
                <c:formatCode>General</c:formatCode>
                <c:ptCount val="3"/>
                <c:pt idx="0">
                  <c:v>3</c:v>
                </c:pt>
                <c:pt idx="1">
                  <c:v>6</c:v>
                </c:pt>
                <c:pt idx="2">
                  <c:v>3</c:v>
                </c:pt>
              </c:numCache>
            </c:numRef>
          </c:val>
          <c:extLst>
            <c:ext xmlns:c16="http://schemas.microsoft.com/office/drawing/2014/chart" uri="{C3380CC4-5D6E-409C-BE32-E72D297353CC}">
              <c16:uniqueId val="{00000000-6E83-407C-B0EB-C5D7467DFE89}"/>
            </c:ext>
          </c:extLst>
        </c:ser>
        <c:ser>
          <c:idx val="1"/>
          <c:order val="1"/>
          <c:tx>
            <c:strRef>
              <c:f>'Supporting Pivots'!$C$3:$C$4</c:f>
              <c:strCache>
                <c:ptCount val="1"/>
                <c:pt idx="0">
                  <c:v>Normal</c:v>
                </c:pt>
              </c:strCache>
            </c:strRef>
          </c:tx>
          <c:spPr>
            <a:solidFill>
              <a:srgbClr val="ED7D31"/>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Pivots'!$A$5:$A$8</c:f>
              <c:strCache>
                <c:ptCount val="3"/>
                <c:pt idx="0">
                  <c:v>daily</c:v>
                </c:pt>
                <c:pt idx="1">
                  <c:v>never</c:v>
                </c:pt>
                <c:pt idx="2">
                  <c:v>occasional</c:v>
                </c:pt>
              </c:strCache>
            </c:strRef>
          </c:cat>
          <c:val>
            <c:numRef>
              <c:f>'Supporting Pivots'!$C$5:$C$8</c:f>
              <c:numCache>
                <c:formatCode>General</c:formatCode>
                <c:ptCount val="3"/>
                <c:pt idx="0">
                  <c:v>18</c:v>
                </c:pt>
                <c:pt idx="1">
                  <c:v>50</c:v>
                </c:pt>
                <c:pt idx="2">
                  <c:v>20</c:v>
                </c:pt>
              </c:numCache>
            </c:numRef>
          </c:val>
          <c:extLst>
            <c:ext xmlns:c16="http://schemas.microsoft.com/office/drawing/2014/chart" uri="{C3380CC4-5D6E-409C-BE32-E72D297353CC}">
              <c16:uniqueId val="{00000000-1188-4E39-B1A7-4539185FDB1C}"/>
            </c:ext>
          </c:extLst>
        </c:ser>
        <c:dLbls>
          <c:showLegendKey val="0"/>
          <c:showVal val="0"/>
          <c:showCatName val="0"/>
          <c:showSerName val="0"/>
          <c:showPercent val="0"/>
          <c:showBubbleSize val="0"/>
        </c:dLbls>
        <c:gapWidth val="219"/>
        <c:overlap val="-27"/>
        <c:axId val="2087437319"/>
        <c:axId val="2087439879"/>
      </c:barChart>
      <c:catAx>
        <c:axId val="2087437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Smoking Habit</a:t>
                </a:r>
              </a:p>
            </c:rich>
          </c:tx>
          <c:layout/>
          <c:overlay val="0"/>
          <c:spPr>
            <a:solidFill>
              <a:srgbClr val="FFFFFF"/>
            </a:solid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39879"/>
        <c:crosses val="autoZero"/>
        <c:auto val="1"/>
        <c:lblAlgn val="ctr"/>
        <c:lblOffset val="100"/>
        <c:noMultiLvlLbl val="0"/>
      </c:catAx>
      <c:valAx>
        <c:axId val="208743987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Diagnosis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37319"/>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Pivots!PT03_High_Fevers</c:name>
    <c:fmtId val="3"/>
  </c:pivotSource>
  <c:chart>
    <c:title>
      <c:tx>
        <c:rich>
          <a:bodyPr rot="0" spcFirstLastPara="1" vertOverflow="ellipsis" vert="horz" wrap="square" anchor="ctr" anchorCtr="1"/>
          <a:lstStyle/>
          <a:p>
            <a:pPr algn="r">
              <a:defRPr sz="1400" b="1" i="0" u="none" strike="noStrike" kern="1200" spc="0" baseline="0">
                <a:solidFill>
                  <a:srgbClr val="4472C4"/>
                </a:solidFill>
                <a:latin typeface="+mn-lt"/>
                <a:ea typeface="+mn-ea"/>
                <a:cs typeface="+mn-cs"/>
              </a:defRPr>
            </a:pPr>
            <a:r>
              <a:rPr lang="en-US" sz="1100" b="1" i="0" u="none" strike="noStrike" baseline="0">
                <a:effectLst/>
              </a:rPr>
              <a:t>Diagnosis Distribution by </a:t>
            </a:r>
            <a:r>
              <a:rPr lang="en-US" sz="1100"/>
              <a:t>High Fevers</a:t>
            </a:r>
          </a:p>
        </c:rich>
      </c:tx>
      <c:layout>
        <c:manualLayout>
          <c:xMode val="edge"/>
          <c:yMode val="edge"/>
          <c:x val="0.28399078118293719"/>
          <c:y val="2.8163782813710809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Pivots'!$L$3:$L$4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Pivots'!$K$5:$K$8</c:f>
              <c:strCache>
                <c:ptCount val="3"/>
                <c:pt idx="0">
                  <c:v>less than 3 months ago</c:v>
                </c:pt>
                <c:pt idx="1">
                  <c:v>more than 3 months ago</c:v>
                </c:pt>
                <c:pt idx="2">
                  <c:v>no</c:v>
                </c:pt>
              </c:strCache>
            </c:strRef>
          </c:cat>
          <c:val>
            <c:numRef>
              <c:f>'Supporting Pivots'!$L$5:$L$8</c:f>
              <c:numCache>
                <c:formatCode>General</c:formatCode>
                <c:ptCount val="3"/>
                <c:pt idx="0">
                  <c:v>2</c:v>
                </c:pt>
                <c:pt idx="1">
                  <c:v>8</c:v>
                </c:pt>
                <c:pt idx="2">
                  <c:v>2</c:v>
                </c:pt>
              </c:numCache>
            </c:numRef>
          </c:val>
          <c:extLst>
            <c:ext xmlns:c16="http://schemas.microsoft.com/office/drawing/2014/chart" uri="{C3380CC4-5D6E-409C-BE32-E72D297353CC}">
              <c16:uniqueId val="{00000000-3F6C-4410-948C-D153D7802AB9}"/>
            </c:ext>
          </c:extLst>
        </c:ser>
        <c:ser>
          <c:idx val="1"/>
          <c:order val="1"/>
          <c:tx>
            <c:strRef>
              <c:f>'Supporting Pivots'!$M$3:$M$4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Pivots'!$K$5:$K$8</c:f>
              <c:strCache>
                <c:ptCount val="3"/>
                <c:pt idx="0">
                  <c:v>less than 3 months ago</c:v>
                </c:pt>
                <c:pt idx="1">
                  <c:v>more than 3 months ago</c:v>
                </c:pt>
                <c:pt idx="2">
                  <c:v>no</c:v>
                </c:pt>
              </c:strCache>
            </c:strRef>
          </c:cat>
          <c:val>
            <c:numRef>
              <c:f>'Supporting Pivots'!$M$5:$M$8</c:f>
              <c:numCache>
                <c:formatCode>General</c:formatCode>
                <c:ptCount val="3"/>
                <c:pt idx="0">
                  <c:v>7</c:v>
                </c:pt>
                <c:pt idx="1">
                  <c:v>55</c:v>
                </c:pt>
                <c:pt idx="2">
                  <c:v>26</c:v>
                </c:pt>
              </c:numCache>
            </c:numRef>
          </c:val>
          <c:extLst>
            <c:ext xmlns:c16="http://schemas.microsoft.com/office/drawing/2014/chart" uri="{C3380CC4-5D6E-409C-BE32-E72D297353CC}">
              <c16:uniqueId val="{00000000-93A7-406B-91A5-428562234AB0}"/>
            </c:ext>
          </c:extLst>
        </c:ser>
        <c:dLbls>
          <c:showLegendKey val="0"/>
          <c:showVal val="0"/>
          <c:showCatName val="0"/>
          <c:showSerName val="0"/>
          <c:showPercent val="0"/>
          <c:showBubbleSize val="0"/>
        </c:dLbls>
        <c:gapWidth val="219"/>
        <c:overlap val="-27"/>
        <c:axId val="144901128"/>
        <c:axId val="318145032"/>
      </c:barChart>
      <c:catAx>
        <c:axId val="144901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High Fevers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45032"/>
        <c:crosses val="autoZero"/>
        <c:auto val="1"/>
        <c:lblAlgn val="ctr"/>
        <c:lblOffset val="100"/>
        <c:noMultiLvlLbl val="0"/>
      </c:catAx>
      <c:valAx>
        <c:axId val="318145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Diagnosis</a:t>
                </a:r>
                <a:endParaRPr lang="en-US" sz="1000">
                  <a:effectLst/>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1128"/>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Pivots!PT04_Childish_diseases</c:name>
    <c:fmtId val="3"/>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sz="1100" b="1" i="0" u="none" strike="noStrike" baseline="0">
                <a:effectLst/>
              </a:rPr>
              <a:t>Diagnosis Distribution by </a:t>
            </a:r>
            <a:r>
              <a:rPr lang="en-US" sz="1100"/>
              <a:t>Childish Diseases</a:t>
            </a:r>
          </a:p>
        </c:rich>
      </c:tx>
      <c:layout>
        <c:manualLayout>
          <c:xMode val="edge"/>
          <c:yMode val="edge"/>
          <c:x val="0.18535257548962764"/>
          <c:y val="5.98380495260734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Pivots'!$Q$3:$Q$4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Pivots'!$P$5:$P$7</c:f>
              <c:strCache>
                <c:ptCount val="2"/>
                <c:pt idx="0">
                  <c:v>no</c:v>
                </c:pt>
                <c:pt idx="1">
                  <c:v>yes</c:v>
                </c:pt>
              </c:strCache>
            </c:strRef>
          </c:cat>
          <c:val>
            <c:numRef>
              <c:f>'Supporting Pivots'!$Q$5:$Q$7</c:f>
              <c:numCache>
                <c:formatCode>General</c:formatCode>
                <c:ptCount val="2"/>
                <c:pt idx="0">
                  <c:v>2</c:v>
                </c:pt>
                <c:pt idx="1">
                  <c:v>10</c:v>
                </c:pt>
              </c:numCache>
            </c:numRef>
          </c:val>
          <c:extLst>
            <c:ext xmlns:c16="http://schemas.microsoft.com/office/drawing/2014/chart" uri="{C3380CC4-5D6E-409C-BE32-E72D297353CC}">
              <c16:uniqueId val="{00000000-B6A1-43A8-9FE5-C9410983A802}"/>
            </c:ext>
          </c:extLst>
        </c:ser>
        <c:ser>
          <c:idx val="1"/>
          <c:order val="1"/>
          <c:tx>
            <c:strRef>
              <c:f>'Supporting Pivots'!$R$3:$R$4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Pivots'!$P$5:$P$7</c:f>
              <c:strCache>
                <c:ptCount val="2"/>
                <c:pt idx="0">
                  <c:v>no</c:v>
                </c:pt>
                <c:pt idx="1">
                  <c:v>yes</c:v>
                </c:pt>
              </c:strCache>
            </c:strRef>
          </c:cat>
          <c:val>
            <c:numRef>
              <c:f>'Supporting Pivots'!$R$5:$R$7</c:f>
              <c:numCache>
                <c:formatCode>General</c:formatCode>
                <c:ptCount val="2"/>
                <c:pt idx="0">
                  <c:v>11</c:v>
                </c:pt>
                <c:pt idx="1">
                  <c:v>77</c:v>
                </c:pt>
              </c:numCache>
            </c:numRef>
          </c:val>
          <c:extLst>
            <c:ext xmlns:c16="http://schemas.microsoft.com/office/drawing/2014/chart" uri="{C3380CC4-5D6E-409C-BE32-E72D297353CC}">
              <c16:uniqueId val="{00000000-F9CC-449C-AA38-A2327436A62D}"/>
            </c:ext>
          </c:extLst>
        </c:ser>
        <c:dLbls>
          <c:showLegendKey val="0"/>
          <c:showVal val="0"/>
          <c:showCatName val="0"/>
          <c:showSerName val="0"/>
          <c:showPercent val="0"/>
          <c:showBubbleSize val="0"/>
        </c:dLbls>
        <c:gapWidth val="219"/>
        <c:overlap val="-27"/>
        <c:axId val="318156296"/>
        <c:axId val="2088875527"/>
      </c:barChart>
      <c:catAx>
        <c:axId val="318156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Childish</a:t>
                </a:r>
                <a:r>
                  <a:rPr lang="en-US" baseline="0">
                    <a:solidFill>
                      <a:sysClr val="windowText" lastClr="000000"/>
                    </a:solidFill>
                  </a:rPr>
                  <a:t> Diseases</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875527"/>
        <c:crosses val="autoZero"/>
        <c:auto val="1"/>
        <c:lblAlgn val="ctr"/>
        <c:lblOffset val="100"/>
        <c:noMultiLvlLbl val="0"/>
      </c:catAx>
      <c:valAx>
        <c:axId val="2088875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DIagnosis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56296"/>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Pivots!PT05_Surgical_intervention</c:name>
    <c:fmtId val="3"/>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sz="1100" b="1" i="0" u="none" strike="noStrike" baseline="0">
                <a:effectLst/>
              </a:rPr>
              <a:t>Diagnosis Distribution by</a:t>
            </a:r>
            <a:r>
              <a:rPr lang="en-US" sz="1100"/>
              <a:t> Surgical Intervention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Pivots'!$V$3:$V$4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Pivots'!$U$5:$U$7</c:f>
              <c:strCache>
                <c:ptCount val="2"/>
                <c:pt idx="0">
                  <c:v>no</c:v>
                </c:pt>
                <c:pt idx="1">
                  <c:v>yes</c:v>
                </c:pt>
              </c:strCache>
            </c:strRef>
          </c:cat>
          <c:val>
            <c:numRef>
              <c:f>'Supporting Pivots'!$V$5:$V$7</c:f>
              <c:numCache>
                <c:formatCode>General</c:formatCode>
                <c:ptCount val="2"/>
                <c:pt idx="0">
                  <c:v>5</c:v>
                </c:pt>
                <c:pt idx="1">
                  <c:v>7</c:v>
                </c:pt>
              </c:numCache>
            </c:numRef>
          </c:val>
          <c:extLst>
            <c:ext xmlns:c16="http://schemas.microsoft.com/office/drawing/2014/chart" uri="{C3380CC4-5D6E-409C-BE32-E72D297353CC}">
              <c16:uniqueId val="{00000000-D62C-4A10-A44D-1A040B7784B9}"/>
            </c:ext>
          </c:extLst>
        </c:ser>
        <c:ser>
          <c:idx val="1"/>
          <c:order val="1"/>
          <c:tx>
            <c:strRef>
              <c:f>'Supporting Pivots'!$W$3:$W$4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Pivots'!$U$5:$U$7</c:f>
              <c:strCache>
                <c:ptCount val="2"/>
                <c:pt idx="0">
                  <c:v>no</c:v>
                </c:pt>
                <c:pt idx="1">
                  <c:v>yes</c:v>
                </c:pt>
              </c:strCache>
            </c:strRef>
          </c:cat>
          <c:val>
            <c:numRef>
              <c:f>'Supporting Pivots'!$W$5:$W$7</c:f>
              <c:numCache>
                <c:formatCode>General</c:formatCode>
                <c:ptCount val="2"/>
                <c:pt idx="0">
                  <c:v>44</c:v>
                </c:pt>
                <c:pt idx="1">
                  <c:v>44</c:v>
                </c:pt>
              </c:numCache>
            </c:numRef>
          </c:val>
          <c:extLst>
            <c:ext xmlns:c16="http://schemas.microsoft.com/office/drawing/2014/chart" uri="{C3380CC4-5D6E-409C-BE32-E72D297353CC}">
              <c16:uniqueId val="{00000000-7BEB-4841-B9CD-C02B9EB11C29}"/>
            </c:ext>
          </c:extLst>
        </c:ser>
        <c:dLbls>
          <c:showLegendKey val="0"/>
          <c:showVal val="0"/>
          <c:showCatName val="0"/>
          <c:showSerName val="0"/>
          <c:showPercent val="0"/>
          <c:showBubbleSize val="0"/>
        </c:dLbls>
        <c:gapWidth val="219"/>
        <c:overlap val="-27"/>
        <c:axId val="318165000"/>
        <c:axId val="318167048"/>
      </c:barChart>
      <c:catAx>
        <c:axId val="318165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Surgical Intervention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67048"/>
        <c:crosses val="autoZero"/>
        <c:auto val="1"/>
        <c:lblAlgn val="ctr"/>
        <c:lblOffset val="100"/>
        <c:noMultiLvlLbl val="0"/>
      </c:catAx>
      <c:valAx>
        <c:axId val="318167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Diagnosis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65000"/>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[Fertility_Data.xlsx]Supporting Pivots!PT06_Accident_or_Serious_Trauma</c:name>
    <c:fmtId val="3"/>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sz="1100" b="1" i="0" u="none" strike="noStrike" baseline="0">
                <a:effectLst/>
              </a:rPr>
              <a:t>Diagnosis Distribution by </a:t>
            </a:r>
            <a:r>
              <a:rPr lang="en-US" sz="1100"/>
              <a:t>Accident or Serious Truama</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'Supporting Pivots'!$AA$3:$AA$4</c:f>
              <c:strCache>
                <c:ptCount val="1"/>
                <c:pt idx="0">
                  <c:v>Altered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Pivots'!$Z$5:$Z$7</c:f>
              <c:strCache>
                <c:ptCount val="2"/>
                <c:pt idx="0">
                  <c:v>no</c:v>
                </c:pt>
                <c:pt idx="1">
                  <c:v>yes</c:v>
                </c:pt>
              </c:strCache>
            </c:strRef>
          </c:cat>
          <c:val>
            <c:numRef>
              <c:f>'Supporting Pivots'!$AA$5:$AA$7</c:f>
              <c:numCache>
                <c:formatCode>General</c:formatCode>
                <c:ptCount val="2"/>
                <c:pt idx="0">
                  <c:v>9</c:v>
                </c:pt>
                <c:pt idx="1">
                  <c:v>3</c:v>
                </c:pt>
              </c:numCache>
            </c:numRef>
          </c:val>
          <c:extLst>
            <c:ext xmlns:c16="http://schemas.microsoft.com/office/drawing/2014/chart" uri="{C3380CC4-5D6E-409C-BE32-E72D297353CC}">
              <c16:uniqueId val="{00000000-86B5-4A4F-A95F-D59EF11A4CF5}"/>
            </c:ext>
          </c:extLst>
        </c:ser>
        <c:ser>
          <c:idx val="1"/>
          <c:order val="1"/>
          <c:tx>
            <c:strRef>
              <c:f>'Supporting Pivots'!$AB$3:$AB$4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'Supporting Pivots'!$Z$5:$Z$7</c:f>
              <c:strCache>
                <c:ptCount val="2"/>
                <c:pt idx="0">
                  <c:v>no</c:v>
                </c:pt>
                <c:pt idx="1">
                  <c:v>yes</c:v>
                </c:pt>
              </c:strCache>
            </c:strRef>
          </c:cat>
          <c:val>
            <c:numRef>
              <c:f>'Supporting Pivots'!$AB$5:$AB$7</c:f>
              <c:numCache>
                <c:formatCode>General</c:formatCode>
                <c:ptCount val="2"/>
                <c:pt idx="0">
                  <c:v>47</c:v>
                </c:pt>
                <c:pt idx="1">
                  <c:v>41</c:v>
                </c:pt>
              </c:numCache>
            </c:numRef>
          </c:val>
          <c:extLst>
            <c:ext xmlns:c16="http://schemas.microsoft.com/office/drawing/2014/chart" uri="{C3380CC4-5D6E-409C-BE32-E72D297353CC}">
              <c16:uniqueId val="{00000000-5609-4CD4-955E-E86ABB17C0A5}"/>
            </c:ext>
          </c:extLst>
        </c:ser>
        <c:dLbls>
          <c:showLegendKey val="0"/>
          <c:showVal val="0"/>
          <c:showCatName val="0"/>
          <c:showSerName val="0"/>
          <c:showPercent val="0"/>
          <c:showBubbleSize val="0"/>
        </c:dLbls>
        <c:gapWidth val="219"/>
        <c:overlap val="-27"/>
        <c:axId val="2146081287"/>
        <c:axId val="2146098695"/>
      </c:barChart>
      <c:catAx>
        <c:axId val="2146081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Accident or Serious Truama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98695"/>
        <c:crosses val="autoZero"/>
        <c:auto val="1"/>
        <c:lblAlgn val="ctr"/>
        <c:lblOffset val="100"/>
        <c:noMultiLvlLbl val="0"/>
      </c:catAx>
      <c:valAx>
        <c:axId val="2146098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solidFill>
                      <a:sysClr val="windowText" lastClr="000000"/>
                    </a:solidFill>
                    <a:effectLst/>
                  </a:rPr>
                  <a:t>Diagnosis</a:t>
                </a:r>
                <a:endParaRPr lang="en-US" sz="1000">
                  <a:solidFill>
                    <a:sysClr val="windowText" lastClr="000000"/>
                  </a:solidFill>
                  <a:effectLst/>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81287"/>
        <c:crosses val="autoZero"/>
        <c:crossBetween val="between"/>
      </c:valAx>
      <c:spPr>
        <a:noFill/>
        <a:ln>
          <a:noFill/>
        </a:ln>
        <a:effectLst/>
      </c:spPr>
    </c:plotArea>
    <c:legend>
      <c:legendPos val="r"/>
      <c:layout/>
      <c:overlay val="0"/>
      <c:spPr>
        <a:solidFill>
          <a:srgbClr val="E7E6E6"/>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57150</xdr:colOff>
      <xdr:row>11</xdr:row>
      <xdr:rowOff>142875</xdr:rowOff>
    </xdr:from>
    <xdr:to>
      <xdr:col>5</xdr:col>
      <xdr:colOff>666750</xdr:colOff>
      <xdr:row>26</xdr:row>
      <xdr:rowOff>28575</xdr:rowOff>
    </xdr:to>
    <xdr:graphicFrame macro="">
      <xdr:nvGraphicFramePr>
        <xdr:cNvPr id="6" name="Chart 5">
          <a:extLst>
            <a:ext uri="{FF2B5EF4-FFF2-40B4-BE49-F238E27FC236}">
              <a16:creationId xmlns:a16="http://schemas.microsoft.com/office/drawing/2014/main" id="{D0D897D1-16FA-5CE9-8032-392DA8309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828675</xdr:colOff>
      <xdr:row>11</xdr:row>
      <xdr:rowOff>161925</xdr:rowOff>
    </xdr:from>
    <xdr:to>
      <xdr:col>10</xdr:col>
      <xdr:colOff>257175</xdr:colOff>
      <xdr:row>26</xdr:row>
      <xdr:rowOff>47625</xdr:rowOff>
    </xdr:to>
    <xdr:graphicFrame macro="">
      <xdr:nvGraphicFramePr>
        <xdr:cNvPr id="7" name="Chart 6">
          <a:extLst>
            <a:ext uri="{FF2B5EF4-FFF2-40B4-BE49-F238E27FC236}">
              <a16:creationId xmlns:a16="http://schemas.microsoft.com/office/drawing/2014/main" id="{AE9A84E8-649B-D73E-8FB1-61F0BE34080C}"/>
            </a:ext>
            <a:ext uri="{147F2762-F138-4A5C-976F-8EAC2B608ADB}">
              <a16:predDERef xmlns:a16="http://schemas.microsoft.com/office/drawing/2014/main" pred="{D0D897D1-16FA-5CE9-8032-392DA8309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455083</xdr:colOff>
      <xdr:row>11</xdr:row>
      <xdr:rowOff>79375</xdr:rowOff>
    </xdr:from>
    <xdr:to>
      <xdr:col>15</xdr:col>
      <xdr:colOff>369358</xdr:colOff>
      <xdr:row>25</xdr:row>
      <xdr:rowOff>155575</xdr:rowOff>
    </xdr:to>
    <xdr:graphicFrame macro="">
      <xdr:nvGraphicFramePr>
        <xdr:cNvPr id="8" name="Chart 7">
          <a:extLst>
            <a:ext uri="{FF2B5EF4-FFF2-40B4-BE49-F238E27FC236}">
              <a16:creationId xmlns:a16="http://schemas.microsoft.com/office/drawing/2014/main" id="{2C577290-139B-D392-F949-4826CD68D872}"/>
            </a:ext>
            <a:ext uri="{147F2762-F138-4A5C-976F-8EAC2B608ADB}">
              <a16:predDERef xmlns:a16="http://schemas.microsoft.com/office/drawing/2014/main" pred="{AE9A84E8-649B-D73E-8FB1-61F0BE340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487708</xdr:colOff>
      <xdr:row>11</xdr:row>
      <xdr:rowOff>109744</xdr:rowOff>
    </xdr:from>
    <xdr:to>
      <xdr:col>20</xdr:col>
      <xdr:colOff>1002058</xdr:colOff>
      <xdr:row>25</xdr:row>
      <xdr:rowOff>183183</xdr:rowOff>
    </xdr:to>
    <xdr:graphicFrame macro="">
      <xdr:nvGraphicFramePr>
        <xdr:cNvPr id="9" name="Chart 8">
          <a:extLst>
            <a:ext uri="{FF2B5EF4-FFF2-40B4-BE49-F238E27FC236}">
              <a16:creationId xmlns:a16="http://schemas.microsoft.com/office/drawing/2014/main" id="{211D42B6-89EE-E172-627F-CB35E69C34DB}"/>
            </a:ext>
            <a:ext uri="{147F2762-F138-4A5C-976F-8EAC2B608ADB}">
              <a16:predDERef xmlns:a16="http://schemas.microsoft.com/office/drawing/2014/main" pred="{2C577290-139B-D392-F949-4826CD68D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1190625</xdr:colOff>
      <xdr:row>11</xdr:row>
      <xdr:rowOff>142875</xdr:rowOff>
    </xdr:from>
    <xdr:to>
      <xdr:col>25</xdr:col>
      <xdr:colOff>1457325</xdr:colOff>
      <xdr:row>26</xdr:row>
      <xdr:rowOff>28575</xdr:rowOff>
    </xdr:to>
    <xdr:graphicFrame macro="">
      <xdr:nvGraphicFramePr>
        <xdr:cNvPr id="10" name="Chart 9">
          <a:extLst>
            <a:ext uri="{FF2B5EF4-FFF2-40B4-BE49-F238E27FC236}">
              <a16:creationId xmlns:a16="http://schemas.microsoft.com/office/drawing/2014/main" id="{F3039A61-69D4-ED57-DD80-E584ECD484FF}"/>
            </a:ext>
            <a:ext uri="{147F2762-F138-4A5C-976F-8EAC2B608ADB}">
              <a16:predDERef xmlns:a16="http://schemas.microsoft.com/office/drawing/2014/main" pred="{211D42B6-89EE-E172-627F-CB35E69C3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1540453</xdr:colOff>
      <xdr:row>11</xdr:row>
      <xdr:rowOff>142875</xdr:rowOff>
    </xdr:from>
    <xdr:to>
      <xdr:col>32</xdr:col>
      <xdr:colOff>206953</xdr:colOff>
      <xdr:row>26</xdr:row>
      <xdr:rowOff>28575</xdr:rowOff>
    </xdr:to>
    <xdr:graphicFrame macro="">
      <xdr:nvGraphicFramePr>
        <xdr:cNvPr id="11" name="Chart 10">
          <a:extLst>
            <a:ext uri="{FF2B5EF4-FFF2-40B4-BE49-F238E27FC236}">
              <a16:creationId xmlns:a16="http://schemas.microsoft.com/office/drawing/2014/main" id="{3610A2B1-E532-0C99-3C4A-165058325740}"/>
            </a:ext>
            <a:ext uri="{147F2762-F138-4A5C-976F-8EAC2B608ADB}">
              <a16:predDERef xmlns:a16="http://schemas.microsoft.com/office/drawing/2014/main" pred="{F3039A61-69D4-ED57-DD80-E584ECD48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42</xdr:row>
      <xdr:rowOff>161925</xdr:rowOff>
    </xdr:from>
    <xdr:to>
      <xdr:col>5</xdr:col>
      <xdr:colOff>638175</xdr:colOff>
      <xdr:row>57</xdr:row>
      <xdr:rowOff>47625</xdr:rowOff>
    </xdr:to>
    <xdr:graphicFrame macro="">
      <xdr:nvGraphicFramePr>
        <xdr:cNvPr id="4" name="Chart 3">
          <a:extLst>
            <a:ext uri="{FF2B5EF4-FFF2-40B4-BE49-F238E27FC236}">
              <a16:creationId xmlns:a16="http://schemas.microsoft.com/office/drawing/2014/main" id="{8F9BB4E5-CA09-F81B-FCC0-BCE60D242EF8}"/>
            </a:ext>
            <a:ext uri="{147F2762-F138-4A5C-976F-8EAC2B608ADB}">
              <a16:predDERef xmlns:a16="http://schemas.microsoft.com/office/drawing/2014/main" pred="{3610A2B1-E532-0C99-3C4A-165058325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1133475</xdr:colOff>
      <xdr:row>42</xdr:row>
      <xdr:rowOff>142875</xdr:rowOff>
    </xdr:from>
    <xdr:to>
      <xdr:col>9</xdr:col>
      <xdr:colOff>752475</xdr:colOff>
      <xdr:row>57</xdr:row>
      <xdr:rowOff>28575</xdr:rowOff>
    </xdr:to>
    <xdr:graphicFrame macro="">
      <xdr:nvGraphicFramePr>
        <xdr:cNvPr id="13" name="Chart 12">
          <a:extLst>
            <a:ext uri="{FF2B5EF4-FFF2-40B4-BE49-F238E27FC236}">
              <a16:creationId xmlns:a16="http://schemas.microsoft.com/office/drawing/2014/main" id="{6E58913D-A7D0-0365-CDCA-C8A73FA506CA}"/>
            </a:ext>
            <a:ext uri="{147F2762-F138-4A5C-976F-8EAC2B608ADB}">
              <a16:predDERef xmlns:a16="http://schemas.microsoft.com/office/drawing/2014/main" pred="{8F9BB4E5-CA09-F81B-FCC0-BCE60D242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1699130</xdr:colOff>
      <xdr:row>40</xdr:row>
      <xdr:rowOff>13582</xdr:rowOff>
    </xdr:from>
    <xdr:to>
      <xdr:col>20</xdr:col>
      <xdr:colOff>1805609</xdr:colOff>
      <xdr:row>57</xdr:row>
      <xdr:rowOff>82825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2041072</xdr:colOff>
      <xdr:row>39</xdr:row>
      <xdr:rowOff>54429</xdr:rowOff>
    </xdr:from>
    <xdr:to>
      <xdr:col>15</xdr:col>
      <xdr:colOff>0</xdr:colOff>
      <xdr:row>57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60869</xdr:colOff>
      <xdr:row>8</xdr:row>
      <xdr:rowOff>110063</xdr:rowOff>
    </xdr:from>
    <xdr:to>
      <xdr:col>3</xdr:col>
      <xdr:colOff>49439</xdr:colOff>
      <xdr:row>15</xdr:row>
      <xdr:rowOff>172915</xdr:rowOff>
    </xdr:to>
    <mc:AlternateContent xmlns:mc="http://schemas.openxmlformats.org/markup-compatibility/2006">
      <mc:Choice xmlns:a14="http://schemas.microsoft.com/office/drawing/2010/main" Requires="a14">
        <xdr:graphicFrame macro="">
          <xdr:nvGraphicFramePr>
            <xdr:cNvPr id="2" name="Season"/>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60869" y="1539989"/>
              <a:ext cx="1823014" cy="1314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60869</xdr:colOff>
      <xdr:row>16</xdr:row>
      <xdr:rowOff>52402</xdr:rowOff>
    </xdr:from>
    <xdr:to>
      <xdr:col>3</xdr:col>
      <xdr:colOff>49439</xdr:colOff>
      <xdr:row>22</xdr:row>
      <xdr:rowOff>8467</xdr:rowOff>
    </xdr:to>
    <mc:AlternateContent xmlns:mc="http://schemas.openxmlformats.org/markup-compatibility/2006">
      <mc:Choice xmlns:a14="http://schemas.microsoft.com/office/drawing/2010/main" Requires="a14">
        <xdr:graphicFrame macro="">
          <xdr:nvGraphicFramePr>
            <xdr:cNvPr id="3" name="Age group"/>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60869" y="2912254"/>
              <a:ext cx="1823014" cy="1028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60869</xdr:colOff>
      <xdr:row>22</xdr:row>
      <xdr:rowOff>74918</xdr:rowOff>
    </xdr:from>
    <xdr:to>
      <xdr:col>3</xdr:col>
      <xdr:colOff>49439</xdr:colOff>
      <xdr:row>30</xdr:row>
      <xdr:rowOff>101600</xdr:rowOff>
    </xdr:to>
    <mc:AlternateContent xmlns:mc="http://schemas.openxmlformats.org/markup-compatibility/2006">
      <mc:Choice xmlns:a14="http://schemas.microsoft.com/office/drawing/2010/main" Requires="a14">
        <xdr:graphicFrame macro="">
          <xdr:nvGraphicFramePr>
            <xdr:cNvPr id="4" name="Frequency of alcohol consumption"/>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Frequency of alcohol consumption"/>
            </a:graphicData>
          </a:graphic>
        </xdr:graphicFrame>
      </mc:Choice>
      <mc:Fallback>
        <xdr:sp macro="" textlink="">
          <xdr:nvSpPr>
            <xdr:cNvPr id="0" name=""/>
            <xdr:cNvSpPr>
              <a:spLocks noTextEdit="1"/>
            </xdr:cNvSpPr>
          </xdr:nvSpPr>
          <xdr:spPr>
            <a:xfrm>
              <a:off x="60869" y="4007214"/>
              <a:ext cx="1823014" cy="1456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60869</xdr:colOff>
      <xdr:row>30</xdr:row>
      <xdr:rowOff>144782</xdr:rowOff>
    </xdr:from>
    <xdr:to>
      <xdr:col>3</xdr:col>
      <xdr:colOff>49439</xdr:colOff>
      <xdr:row>36</xdr:row>
      <xdr:rowOff>118532</xdr:rowOff>
    </xdr:to>
    <mc:AlternateContent xmlns:mc="http://schemas.openxmlformats.org/markup-compatibility/2006">
      <mc:Choice xmlns:a14="http://schemas.microsoft.com/office/drawing/2010/main" Requires="a14">
        <xdr:graphicFrame macro="">
          <xdr:nvGraphicFramePr>
            <xdr:cNvPr id="5" name="Smoking habit"/>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moking habit"/>
            </a:graphicData>
          </a:graphic>
        </xdr:graphicFrame>
      </mc:Choice>
      <mc:Fallback>
        <xdr:sp macro="" textlink="">
          <xdr:nvSpPr>
            <xdr:cNvPr id="0" name=""/>
            <xdr:cNvSpPr>
              <a:spLocks noTextEdit="1"/>
            </xdr:cNvSpPr>
          </xdr:nvSpPr>
          <xdr:spPr>
            <a:xfrm>
              <a:off x="60869" y="5507004"/>
              <a:ext cx="1823014" cy="1046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60869</xdr:colOff>
      <xdr:row>3</xdr:row>
      <xdr:rowOff>62977</xdr:rowOff>
    </xdr:from>
    <xdr:to>
      <xdr:col>3</xdr:col>
      <xdr:colOff>49439</xdr:colOff>
      <xdr:row>8</xdr:row>
      <xdr:rowOff>36691</xdr:rowOff>
    </xdr:to>
    <mc:AlternateContent xmlns:mc="http://schemas.openxmlformats.org/markup-compatibility/2006">
      <mc:Choice xmlns:a14="http://schemas.microsoft.com/office/drawing/2010/main" Requires="a14">
        <xdr:graphicFrame macro="">
          <xdr:nvGraphicFramePr>
            <xdr:cNvPr id="6" name="Diagnosis"/>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60869" y="599199"/>
              <a:ext cx="1823014" cy="867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202165</xdr:colOff>
      <xdr:row>26</xdr:row>
      <xdr:rowOff>139960</xdr:rowOff>
    </xdr:from>
    <xdr:to>
      <xdr:col>8</xdr:col>
      <xdr:colOff>592826</xdr:colOff>
      <xdr:row>36</xdr:row>
      <xdr:rowOff>102637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528997</xdr:colOff>
      <xdr:row>6</xdr:row>
      <xdr:rowOff>105268</xdr:rowOff>
    </xdr:from>
    <xdr:to>
      <xdr:col>16</xdr:col>
      <xdr:colOff>284893</xdr:colOff>
      <xdr:row>16</xdr:row>
      <xdr:rowOff>67945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205851</xdr:colOff>
      <xdr:row>16</xdr:row>
      <xdr:rowOff>116633</xdr:rowOff>
    </xdr:from>
    <xdr:to>
      <xdr:col>10</xdr:col>
      <xdr:colOff>575387</xdr:colOff>
      <xdr:row>26</xdr:row>
      <xdr:rowOff>79311</xdr:rowOff>
    </xdr:to>
    <xdr:graphicFrame macro="">
      <xdr:nvGraphicFramePr>
        <xdr:cNvPr id="9" name="Chart 8">
          <a:extLst>
            <a:ext uri="{FF2B5EF4-FFF2-40B4-BE49-F238E27FC236}">
              <a16:creationId xmlns:a16="http://schemas.microsoft.com/office/drawing/2014/main" id="{AE9A84E8-649B-D73E-8FB1-61F0BE34080C}"/>
            </a:ext>
            <a:ext uri="{147F2762-F138-4A5C-976F-8EAC2B608ADB}">
              <a16:predDERef xmlns:a16="http://schemas.microsoft.com/office/drawing/2014/main" pred="{D0D897D1-16FA-5CE9-8032-392DA8309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404327</xdr:colOff>
      <xdr:row>26</xdr:row>
      <xdr:rowOff>139960</xdr:rowOff>
    </xdr:from>
    <xdr:to>
      <xdr:col>22</xdr:col>
      <xdr:colOff>559836</xdr:colOff>
      <xdr:row>36</xdr:row>
      <xdr:rowOff>102637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105382</xdr:colOff>
      <xdr:row>16</xdr:row>
      <xdr:rowOff>116633</xdr:rowOff>
    </xdr:from>
    <xdr:to>
      <xdr:col>17</xdr:col>
      <xdr:colOff>345594</xdr:colOff>
      <xdr:row>26</xdr:row>
      <xdr:rowOff>79311</xdr:rowOff>
    </xdr:to>
    <xdr:graphicFrame macro="">
      <xdr:nvGraphicFramePr>
        <xdr:cNvPr id="11" name="Chart 10">
          <a:extLst>
            <a:ext uri="{FF2B5EF4-FFF2-40B4-BE49-F238E27FC236}">
              <a16:creationId xmlns:a16="http://schemas.microsoft.com/office/drawing/2014/main" id="{D0D897D1-16FA-5CE9-8032-392DA8309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208456</xdr:colOff>
      <xdr:row>6</xdr:row>
      <xdr:rowOff>105268</xdr:rowOff>
    </xdr:from>
    <xdr:to>
      <xdr:col>10</xdr:col>
      <xdr:colOff>411267</xdr:colOff>
      <xdr:row>16</xdr:row>
      <xdr:rowOff>67945</xdr:rowOff>
    </xdr:to>
    <xdr:graphicFrame macro="">
      <xdr:nvGraphicFramePr>
        <xdr:cNvPr id="12" name="Chart 11">
          <a:extLst>
            <a:ext uri="{FF2B5EF4-FFF2-40B4-BE49-F238E27FC236}">
              <a16:creationId xmlns:a16="http://schemas.microsoft.com/office/drawing/2014/main" id="{2C577290-139B-D392-F949-4826CD68D872}"/>
            </a:ext>
            <a:ext uri="{147F2762-F138-4A5C-976F-8EAC2B608ADB}">
              <a16:predDERef xmlns:a16="http://schemas.microsoft.com/office/drawing/2014/main" pred="{AE9A84E8-649B-D73E-8FB1-61F0BE340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402623</xdr:colOff>
      <xdr:row>6</xdr:row>
      <xdr:rowOff>105268</xdr:rowOff>
    </xdr:from>
    <xdr:to>
      <xdr:col>22</xdr:col>
      <xdr:colOff>559836</xdr:colOff>
      <xdr:row>16</xdr:row>
      <xdr:rowOff>67945</xdr:rowOff>
    </xdr:to>
    <xdr:graphicFrame macro="">
      <xdr:nvGraphicFramePr>
        <xdr:cNvPr id="13" name="Chart 12">
          <a:extLst>
            <a:ext uri="{FF2B5EF4-FFF2-40B4-BE49-F238E27FC236}">
              <a16:creationId xmlns:a16="http://schemas.microsoft.com/office/drawing/2014/main" id="{211D42B6-89EE-E172-627F-CB35E69C34DB}"/>
            </a:ext>
            <a:ext uri="{147F2762-F138-4A5C-976F-8EAC2B608ADB}">
              <a16:predDERef xmlns:a16="http://schemas.microsoft.com/office/drawing/2014/main" pred="{2C577290-139B-D392-F949-4826CD68D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482079</xdr:colOff>
      <xdr:row>16</xdr:row>
      <xdr:rowOff>116633</xdr:rowOff>
    </xdr:from>
    <xdr:to>
      <xdr:col>22</xdr:col>
      <xdr:colOff>559836</xdr:colOff>
      <xdr:row>26</xdr:row>
      <xdr:rowOff>79311</xdr:rowOff>
    </xdr:to>
    <xdr:graphicFrame macro="">
      <xdr:nvGraphicFramePr>
        <xdr:cNvPr id="14" name="Chart 13">
          <a:extLst>
            <a:ext uri="{FF2B5EF4-FFF2-40B4-BE49-F238E27FC236}">
              <a16:creationId xmlns:a16="http://schemas.microsoft.com/office/drawing/2014/main" id="{F3039A61-69D4-ED57-DD80-E584ECD484FF}"/>
            </a:ext>
            <a:ext uri="{147F2762-F138-4A5C-976F-8EAC2B608ADB}">
              <a16:predDERef xmlns:a16="http://schemas.microsoft.com/office/drawing/2014/main" pred="{211D42B6-89EE-E172-627F-CB35E69C3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121986</xdr:colOff>
      <xdr:row>26</xdr:row>
      <xdr:rowOff>139960</xdr:rowOff>
    </xdr:from>
    <xdr:to>
      <xdr:col>14</xdr:col>
      <xdr:colOff>268677</xdr:colOff>
      <xdr:row>36</xdr:row>
      <xdr:rowOff>102637</xdr:rowOff>
    </xdr:to>
    <xdr:graphicFrame macro="">
      <xdr:nvGraphicFramePr>
        <xdr:cNvPr id="15" name="Chart 14">
          <a:extLst>
            <a:ext uri="{FF2B5EF4-FFF2-40B4-BE49-F238E27FC236}">
              <a16:creationId xmlns:a16="http://schemas.microsoft.com/office/drawing/2014/main" id="{3610A2B1-E532-0C99-3C4A-165058325740}"/>
            </a:ext>
            <a:ext uri="{147F2762-F138-4A5C-976F-8EAC2B608ADB}">
              <a16:predDERef xmlns:a16="http://schemas.microsoft.com/office/drawing/2014/main" pred="{F3039A61-69D4-ED57-DD80-E584ECD48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139962</xdr:colOff>
      <xdr:row>3</xdr:row>
      <xdr:rowOff>83803</xdr:rowOff>
    </xdr:from>
    <xdr:to>
      <xdr:col>7</xdr:col>
      <xdr:colOff>472516</xdr:colOff>
      <xdr:row>6</xdr:row>
      <xdr:rowOff>52701</xdr:rowOff>
    </xdr:to>
    <xdr:grpSp>
      <xdr:nvGrpSpPr>
        <xdr:cNvPr id="24" name="Group 23"/>
        <xdr:cNvGrpSpPr/>
      </xdr:nvGrpSpPr>
      <xdr:grpSpPr>
        <a:xfrm>
          <a:off x="1974406" y="620025"/>
          <a:ext cx="2778480" cy="505120"/>
          <a:chOff x="2063104" y="622041"/>
          <a:chExt cx="2761167" cy="513183"/>
        </a:xfrm>
      </xdr:grpSpPr>
      <xdr:sp macro="" textlink="">
        <xdr:nvSpPr>
          <xdr:cNvPr id="16" name="Rounded Rectangle 15"/>
          <xdr:cNvSpPr/>
        </xdr:nvSpPr>
        <xdr:spPr>
          <a:xfrm>
            <a:off x="2063104" y="622041"/>
            <a:ext cx="2761167" cy="51318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xdr:cNvSpPr txBox="1"/>
        </xdr:nvSpPr>
        <xdr:spPr>
          <a:xfrm>
            <a:off x="2140857" y="689427"/>
            <a:ext cx="2624667" cy="38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Participants - 100</a:t>
            </a:r>
          </a:p>
        </xdr:txBody>
      </xdr:sp>
    </xdr:grpSp>
    <xdr:clientData/>
  </xdr:twoCellAnchor>
  <xdr:twoCellAnchor>
    <xdr:from>
      <xdr:col>7</xdr:col>
      <xdr:colOff>522171</xdr:colOff>
      <xdr:row>3</xdr:row>
      <xdr:rowOff>83803</xdr:rowOff>
    </xdr:from>
    <xdr:to>
      <xdr:col>12</xdr:col>
      <xdr:colOff>249962</xdr:colOff>
      <xdr:row>6</xdr:row>
      <xdr:rowOff>52701</xdr:rowOff>
    </xdr:to>
    <xdr:grpSp>
      <xdr:nvGrpSpPr>
        <xdr:cNvPr id="46" name="Group 45"/>
        <xdr:cNvGrpSpPr/>
      </xdr:nvGrpSpPr>
      <xdr:grpSpPr>
        <a:xfrm>
          <a:off x="4802541" y="620025"/>
          <a:ext cx="2785199" cy="505120"/>
          <a:chOff x="2099516" y="622041"/>
          <a:chExt cx="2761167" cy="513183"/>
        </a:xfrm>
      </xdr:grpSpPr>
      <xdr:sp macro="" textlink="">
        <xdr:nvSpPr>
          <xdr:cNvPr id="47" name="Rounded Rectangle 46"/>
          <xdr:cNvSpPr/>
        </xdr:nvSpPr>
        <xdr:spPr>
          <a:xfrm>
            <a:off x="2099516" y="622041"/>
            <a:ext cx="2761167" cy="51318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xdr:cNvSpPr txBox="1"/>
        </xdr:nvSpPr>
        <xdr:spPr>
          <a:xfrm>
            <a:off x="2140857" y="689427"/>
            <a:ext cx="2624667" cy="38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b="1">
                <a:solidFill>
                  <a:schemeClr val="bg1"/>
                </a:solidFill>
              </a:rPr>
              <a:t>Altered Diagnosis - 13</a:t>
            </a:r>
          </a:p>
        </xdr:txBody>
      </xdr:sp>
    </xdr:grpSp>
    <xdr:clientData/>
  </xdr:twoCellAnchor>
  <xdr:twoCellAnchor>
    <xdr:from>
      <xdr:col>12</xdr:col>
      <xdr:colOff>299617</xdr:colOff>
      <xdr:row>3</xdr:row>
      <xdr:rowOff>83803</xdr:rowOff>
    </xdr:from>
    <xdr:to>
      <xdr:col>17</xdr:col>
      <xdr:colOff>27409</xdr:colOff>
      <xdr:row>6</xdr:row>
      <xdr:rowOff>52701</xdr:rowOff>
    </xdr:to>
    <xdr:grpSp>
      <xdr:nvGrpSpPr>
        <xdr:cNvPr id="49" name="Group 48"/>
        <xdr:cNvGrpSpPr/>
      </xdr:nvGrpSpPr>
      <xdr:grpSpPr>
        <a:xfrm>
          <a:off x="7637395" y="620025"/>
          <a:ext cx="2785199" cy="505120"/>
          <a:chOff x="2063104" y="622041"/>
          <a:chExt cx="2761167" cy="513183"/>
        </a:xfrm>
      </xdr:grpSpPr>
      <xdr:sp macro="" textlink="">
        <xdr:nvSpPr>
          <xdr:cNvPr id="50" name="Rounded Rectangle 49"/>
          <xdr:cNvSpPr/>
        </xdr:nvSpPr>
        <xdr:spPr>
          <a:xfrm>
            <a:off x="2063104" y="622041"/>
            <a:ext cx="2761167" cy="51318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xdr:cNvSpPr txBox="1"/>
        </xdr:nvSpPr>
        <xdr:spPr>
          <a:xfrm>
            <a:off x="2140857" y="689427"/>
            <a:ext cx="2624667" cy="38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b="1">
                <a:solidFill>
                  <a:schemeClr val="bg1"/>
                </a:solidFill>
              </a:rPr>
              <a:t>Normal Diagnosis - 87</a:t>
            </a:r>
          </a:p>
        </xdr:txBody>
      </xdr:sp>
    </xdr:grpSp>
    <xdr:clientData/>
  </xdr:twoCellAnchor>
  <xdr:twoCellAnchor>
    <xdr:from>
      <xdr:col>17</xdr:col>
      <xdr:colOff>77065</xdr:colOff>
      <xdr:row>3</xdr:row>
      <xdr:rowOff>83803</xdr:rowOff>
    </xdr:from>
    <xdr:to>
      <xdr:col>22</xdr:col>
      <xdr:colOff>532190</xdr:colOff>
      <xdr:row>6</xdr:row>
      <xdr:rowOff>52701</xdr:rowOff>
    </xdr:to>
    <xdr:grpSp>
      <xdr:nvGrpSpPr>
        <xdr:cNvPr id="52" name="Group 51"/>
        <xdr:cNvGrpSpPr/>
      </xdr:nvGrpSpPr>
      <xdr:grpSpPr>
        <a:xfrm>
          <a:off x="10472250" y="620025"/>
          <a:ext cx="3512533" cy="505120"/>
          <a:chOff x="2063103" y="622041"/>
          <a:chExt cx="2812999" cy="513183"/>
        </a:xfrm>
      </xdr:grpSpPr>
      <xdr:sp macro="" textlink="">
        <xdr:nvSpPr>
          <xdr:cNvPr id="53" name="Rounded Rectangle 52"/>
          <xdr:cNvSpPr/>
        </xdr:nvSpPr>
        <xdr:spPr>
          <a:xfrm>
            <a:off x="2063103" y="622041"/>
            <a:ext cx="2812999" cy="51318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xdr:cNvSpPr txBox="1"/>
        </xdr:nvSpPr>
        <xdr:spPr>
          <a:xfrm>
            <a:off x="2140858" y="689427"/>
            <a:ext cx="2735243" cy="38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b="1">
                <a:solidFill>
                  <a:schemeClr val="bg1"/>
                </a:solidFill>
              </a:rPr>
              <a:t>Altered Diagnosis Rate - 13%</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265.771062615742" createdVersion="8" refreshedVersion="8" minRefreshableVersion="3" recordCount="100">
  <cacheSource type="worksheet">
    <worksheetSource name="Sales_Data"/>
  </cacheSource>
  <cacheFields count="11">
    <cacheField name="Season" numFmtId="0">
      <sharedItems count="4">
        <s v="spring"/>
        <s v="fall"/>
        <s v="winter"/>
        <s v="summer"/>
      </sharedItems>
    </cacheField>
    <cacheField name="Age" numFmtId="0">
      <sharedItems containsSemiMixedTypes="0" containsString="0" containsNumber="1" containsInteger="1" minValue="27" maxValue="36" count="10">
        <n v="30"/>
        <n v="35"/>
        <n v="27"/>
        <n v="32"/>
        <n v="36"/>
        <n v="29"/>
        <n v="33"/>
        <n v="28"/>
        <n v="31"/>
        <n v="34"/>
      </sharedItems>
    </cacheField>
    <cacheField name="Age group" numFmtId="0">
      <sharedItems count="3">
        <s v="30-33"/>
        <s v="34-36"/>
        <s v="26-29"/>
      </sharedItems>
    </cacheField>
    <cacheField name="Childish diseases" numFmtId="0">
      <sharedItems count="2">
        <s v="no"/>
        <s v="yes"/>
      </sharedItems>
    </cacheField>
    <cacheField name="Accident or serious trauma" numFmtId="0">
      <sharedItems count="2">
        <s v="yes"/>
        <s v="no"/>
      </sharedItems>
    </cacheField>
    <cacheField name="Surgical intervention" numFmtId="0">
      <sharedItems count="2">
        <s v="yes"/>
        <s v="no"/>
      </sharedItems>
    </cacheField>
    <cacheField name="High fevers in the last year" numFmtId="0">
      <sharedItems count="3">
        <s v="more than 3 months ago"/>
        <s v="less than 3 months ago"/>
        <s v="no"/>
      </sharedItems>
    </cacheField>
    <cacheField name="Frequency of alcohol consumption" numFmtId="0">
      <sharedItems count="5">
        <s v="once a week"/>
        <s v="hardly ever or never"/>
        <s v="several times a week"/>
        <s v="several times a day"/>
        <s v="every day"/>
      </sharedItems>
    </cacheField>
    <cacheField name="Smoking habit" numFmtId="0">
      <sharedItems count="3">
        <s v="occasional"/>
        <s v="daily"/>
        <s v="never"/>
      </sharedItems>
    </cacheField>
    <cacheField name="Number of hours spent sitting per day" numFmtId="0">
      <sharedItems containsSemiMixedTypes="0" containsString="0" containsNumber="1" containsInteger="1" minValue="1" maxValue="18" count="14">
        <n v="16"/>
        <n v="6"/>
        <n v="9"/>
        <n v="7"/>
        <n v="8"/>
        <n v="5"/>
        <n v="2"/>
        <n v="11"/>
        <n v="3"/>
        <n v="12"/>
        <n v="14"/>
        <n v="18"/>
        <n v="10"/>
        <n v="1"/>
      </sharedItems>
      <fieldGroup base="9">
        <rangePr startNum="1" endNum="18" groupInterval="3"/>
        <groupItems count="8">
          <s v="&lt;1"/>
          <s v="1-3"/>
          <s v="4-6"/>
          <s v="7-9"/>
          <s v="10-12"/>
          <s v="13-15"/>
          <s v="16-18"/>
          <s v="&gt;19"/>
        </groupItems>
      </fieldGroup>
    </cacheField>
    <cacheField name="Diagnosis" numFmtId="0">
      <sharedItems count="2">
        <s v="Normal"/>
        <s v="Altered"/>
      </sharedItems>
    </cacheField>
  </cacheFields>
  <extLst>
    <ext xmlns:x14="http://schemas.microsoft.com/office/spreadsheetml/2009/9/main" uri="{725AE2AE-9491-48be-B2B4-4EB974FC3084}">
      <x14:pivotCacheDefinition pivotCacheId="363590902"/>
    </ext>
  </extLst>
</pivotCacheDefinition>
</file>

<file path=xl/pivotCache/pivotCacheRecords1.xml><?xml version="1.0" encoding="utf-8"?>
<pivotCacheRecords xmlns="http://schemas.openxmlformats.org/spreadsheetml/2006/main" xmlns:r="http://schemas.openxmlformats.org/officeDocument/2006/relationships" count="100">
  <r>
    <x v="0"/>
    <x v="0"/>
    <x v="0"/>
    <x v="0"/>
    <x v="0"/>
    <x v="0"/>
    <x v="0"/>
    <x v="0"/>
    <x v="0"/>
    <x v="0"/>
    <x v="0"/>
  </r>
  <r>
    <x v="0"/>
    <x v="1"/>
    <x v="1"/>
    <x v="1"/>
    <x v="1"/>
    <x v="0"/>
    <x v="0"/>
    <x v="0"/>
    <x v="1"/>
    <x v="1"/>
    <x v="1"/>
  </r>
  <r>
    <x v="0"/>
    <x v="2"/>
    <x v="2"/>
    <x v="1"/>
    <x v="1"/>
    <x v="1"/>
    <x v="0"/>
    <x v="1"/>
    <x v="2"/>
    <x v="2"/>
    <x v="0"/>
  </r>
  <r>
    <x v="0"/>
    <x v="3"/>
    <x v="0"/>
    <x v="0"/>
    <x v="0"/>
    <x v="0"/>
    <x v="0"/>
    <x v="1"/>
    <x v="2"/>
    <x v="3"/>
    <x v="0"/>
  </r>
  <r>
    <x v="0"/>
    <x v="0"/>
    <x v="0"/>
    <x v="1"/>
    <x v="0"/>
    <x v="1"/>
    <x v="0"/>
    <x v="0"/>
    <x v="2"/>
    <x v="2"/>
    <x v="1"/>
  </r>
  <r>
    <x v="0"/>
    <x v="0"/>
    <x v="0"/>
    <x v="1"/>
    <x v="1"/>
    <x v="0"/>
    <x v="0"/>
    <x v="0"/>
    <x v="0"/>
    <x v="2"/>
    <x v="0"/>
  </r>
  <r>
    <x v="0"/>
    <x v="0"/>
    <x v="0"/>
    <x v="0"/>
    <x v="1"/>
    <x v="1"/>
    <x v="1"/>
    <x v="0"/>
    <x v="2"/>
    <x v="4"/>
    <x v="0"/>
  </r>
  <r>
    <x v="0"/>
    <x v="4"/>
    <x v="1"/>
    <x v="1"/>
    <x v="0"/>
    <x v="0"/>
    <x v="0"/>
    <x v="2"/>
    <x v="2"/>
    <x v="3"/>
    <x v="0"/>
  </r>
  <r>
    <x v="1"/>
    <x v="0"/>
    <x v="0"/>
    <x v="0"/>
    <x v="1"/>
    <x v="0"/>
    <x v="0"/>
    <x v="0"/>
    <x v="2"/>
    <x v="5"/>
    <x v="0"/>
  </r>
  <r>
    <x v="1"/>
    <x v="5"/>
    <x v="2"/>
    <x v="1"/>
    <x v="1"/>
    <x v="1"/>
    <x v="0"/>
    <x v="1"/>
    <x v="2"/>
    <x v="5"/>
    <x v="0"/>
  </r>
  <r>
    <x v="1"/>
    <x v="0"/>
    <x v="0"/>
    <x v="1"/>
    <x v="0"/>
    <x v="1"/>
    <x v="1"/>
    <x v="0"/>
    <x v="0"/>
    <x v="1"/>
    <x v="0"/>
  </r>
  <r>
    <x v="1"/>
    <x v="3"/>
    <x v="0"/>
    <x v="1"/>
    <x v="0"/>
    <x v="0"/>
    <x v="0"/>
    <x v="2"/>
    <x v="0"/>
    <x v="6"/>
    <x v="0"/>
  </r>
  <r>
    <x v="1"/>
    <x v="3"/>
    <x v="0"/>
    <x v="1"/>
    <x v="0"/>
    <x v="0"/>
    <x v="0"/>
    <x v="0"/>
    <x v="1"/>
    <x v="5"/>
    <x v="0"/>
  </r>
  <r>
    <x v="1"/>
    <x v="6"/>
    <x v="0"/>
    <x v="1"/>
    <x v="1"/>
    <x v="1"/>
    <x v="0"/>
    <x v="1"/>
    <x v="2"/>
    <x v="3"/>
    <x v="0"/>
  </r>
  <r>
    <x v="1"/>
    <x v="1"/>
    <x v="1"/>
    <x v="1"/>
    <x v="0"/>
    <x v="0"/>
    <x v="0"/>
    <x v="3"/>
    <x v="2"/>
    <x v="5"/>
    <x v="0"/>
  </r>
  <r>
    <x v="1"/>
    <x v="6"/>
    <x v="0"/>
    <x v="1"/>
    <x v="0"/>
    <x v="1"/>
    <x v="0"/>
    <x v="1"/>
    <x v="1"/>
    <x v="2"/>
    <x v="0"/>
  </r>
  <r>
    <x v="1"/>
    <x v="0"/>
    <x v="0"/>
    <x v="1"/>
    <x v="1"/>
    <x v="0"/>
    <x v="0"/>
    <x v="1"/>
    <x v="2"/>
    <x v="3"/>
    <x v="0"/>
  </r>
  <r>
    <x v="1"/>
    <x v="0"/>
    <x v="0"/>
    <x v="1"/>
    <x v="1"/>
    <x v="0"/>
    <x v="0"/>
    <x v="0"/>
    <x v="2"/>
    <x v="5"/>
    <x v="1"/>
  </r>
  <r>
    <x v="1"/>
    <x v="3"/>
    <x v="0"/>
    <x v="1"/>
    <x v="0"/>
    <x v="0"/>
    <x v="0"/>
    <x v="1"/>
    <x v="1"/>
    <x v="5"/>
    <x v="0"/>
  </r>
  <r>
    <x v="1"/>
    <x v="0"/>
    <x v="0"/>
    <x v="1"/>
    <x v="1"/>
    <x v="1"/>
    <x v="0"/>
    <x v="0"/>
    <x v="1"/>
    <x v="3"/>
    <x v="1"/>
  </r>
  <r>
    <x v="1"/>
    <x v="0"/>
    <x v="0"/>
    <x v="0"/>
    <x v="1"/>
    <x v="0"/>
    <x v="0"/>
    <x v="0"/>
    <x v="2"/>
    <x v="5"/>
    <x v="0"/>
  </r>
  <r>
    <x v="1"/>
    <x v="3"/>
    <x v="0"/>
    <x v="1"/>
    <x v="1"/>
    <x v="1"/>
    <x v="0"/>
    <x v="2"/>
    <x v="0"/>
    <x v="5"/>
    <x v="0"/>
  </r>
  <r>
    <x v="1"/>
    <x v="0"/>
    <x v="0"/>
    <x v="1"/>
    <x v="0"/>
    <x v="1"/>
    <x v="0"/>
    <x v="0"/>
    <x v="2"/>
    <x v="5"/>
    <x v="0"/>
  </r>
  <r>
    <x v="1"/>
    <x v="0"/>
    <x v="0"/>
    <x v="1"/>
    <x v="1"/>
    <x v="0"/>
    <x v="1"/>
    <x v="1"/>
    <x v="2"/>
    <x v="4"/>
    <x v="1"/>
  </r>
  <r>
    <x v="1"/>
    <x v="7"/>
    <x v="2"/>
    <x v="1"/>
    <x v="1"/>
    <x v="0"/>
    <x v="0"/>
    <x v="1"/>
    <x v="2"/>
    <x v="7"/>
    <x v="0"/>
  </r>
  <r>
    <x v="1"/>
    <x v="0"/>
    <x v="0"/>
    <x v="1"/>
    <x v="1"/>
    <x v="1"/>
    <x v="0"/>
    <x v="1"/>
    <x v="2"/>
    <x v="5"/>
    <x v="0"/>
  </r>
  <r>
    <x v="1"/>
    <x v="0"/>
    <x v="0"/>
    <x v="1"/>
    <x v="1"/>
    <x v="0"/>
    <x v="0"/>
    <x v="2"/>
    <x v="2"/>
    <x v="3"/>
    <x v="1"/>
  </r>
  <r>
    <x v="1"/>
    <x v="3"/>
    <x v="0"/>
    <x v="1"/>
    <x v="0"/>
    <x v="1"/>
    <x v="2"/>
    <x v="2"/>
    <x v="2"/>
    <x v="3"/>
    <x v="1"/>
  </r>
  <r>
    <x v="1"/>
    <x v="7"/>
    <x v="2"/>
    <x v="0"/>
    <x v="1"/>
    <x v="0"/>
    <x v="0"/>
    <x v="1"/>
    <x v="2"/>
    <x v="8"/>
    <x v="0"/>
  </r>
  <r>
    <x v="1"/>
    <x v="0"/>
    <x v="0"/>
    <x v="0"/>
    <x v="1"/>
    <x v="0"/>
    <x v="0"/>
    <x v="2"/>
    <x v="0"/>
    <x v="2"/>
    <x v="1"/>
  </r>
  <r>
    <x v="1"/>
    <x v="5"/>
    <x v="2"/>
    <x v="1"/>
    <x v="1"/>
    <x v="0"/>
    <x v="0"/>
    <x v="1"/>
    <x v="2"/>
    <x v="7"/>
    <x v="0"/>
  </r>
  <r>
    <x v="1"/>
    <x v="7"/>
    <x v="2"/>
    <x v="1"/>
    <x v="1"/>
    <x v="1"/>
    <x v="0"/>
    <x v="1"/>
    <x v="2"/>
    <x v="4"/>
    <x v="0"/>
  </r>
  <r>
    <x v="1"/>
    <x v="0"/>
    <x v="0"/>
    <x v="0"/>
    <x v="1"/>
    <x v="1"/>
    <x v="0"/>
    <x v="1"/>
    <x v="2"/>
    <x v="7"/>
    <x v="0"/>
  </r>
  <r>
    <x v="1"/>
    <x v="7"/>
    <x v="2"/>
    <x v="1"/>
    <x v="0"/>
    <x v="0"/>
    <x v="0"/>
    <x v="0"/>
    <x v="0"/>
    <x v="4"/>
    <x v="0"/>
  </r>
  <r>
    <x v="1"/>
    <x v="7"/>
    <x v="2"/>
    <x v="1"/>
    <x v="0"/>
    <x v="0"/>
    <x v="0"/>
    <x v="1"/>
    <x v="2"/>
    <x v="7"/>
    <x v="0"/>
  </r>
  <r>
    <x v="2"/>
    <x v="3"/>
    <x v="0"/>
    <x v="1"/>
    <x v="0"/>
    <x v="1"/>
    <x v="2"/>
    <x v="2"/>
    <x v="2"/>
    <x v="3"/>
    <x v="0"/>
  </r>
  <r>
    <x v="2"/>
    <x v="3"/>
    <x v="0"/>
    <x v="1"/>
    <x v="1"/>
    <x v="0"/>
    <x v="0"/>
    <x v="1"/>
    <x v="2"/>
    <x v="5"/>
    <x v="0"/>
  </r>
  <r>
    <x v="2"/>
    <x v="7"/>
    <x v="2"/>
    <x v="1"/>
    <x v="1"/>
    <x v="0"/>
    <x v="0"/>
    <x v="1"/>
    <x v="2"/>
    <x v="7"/>
    <x v="0"/>
  </r>
  <r>
    <x v="2"/>
    <x v="0"/>
    <x v="0"/>
    <x v="0"/>
    <x v="1"/>
    <x v="0"/>
    <x v="0"/>
    <x v="2"/>
    <x v="0"/>
    <x v="2"/>
    <x v="1"/>
  </r>
  <r>
    <x v="2"/>
    <x v="0"/>
    <x v="0"/>
    <x v="1"/>
    <x v="1"/>
    <x v="1"/>
    <x v="0"/>
    <x v="1"/>
    <x v="2"/>
    <x v="1"/>
    <x v="0"/>
  </r>
  <r>
    <x v="2"/>
    <x v="7"/>
    <x v="2"/>
    <x v="1"/>
    <x v="0"/>
    <x v="0"/>
    <x v="0"/>
    <x v="0"/>
    <x v="1"/>
    <x v="2"/>
    <x v="0"/>
  </r>
  <r>
    <x v="2"/>
    <x v="7"/>
    <x v="2"/>
    <x v="1"/>
    <x v="0"/>
    <x v="1"/>
    <x v="0"/>
    <x v="0"/>
    <x v="1"/>
    <x v="2"/>
    <x v="0"/>
  </r>
  <r>
    <x v="2"/>
    <x v="7"/>
    <x v="2"/>
    <x v="1"/>
    <x v="1"/>
    <x v="0"/>
    <x v="1"/>
    <x v="0"/>
    <x v="1"/>
    <x v="2"/>
    <x v="0"/>
  </r>
  <r>
    <x v="2"/>
    <x v="7"/>
    <x v="2"/>
    <x v="1"/>
    <x v="1"/>
    <x v="1"/>
    <x v="0"/>
    <x v="1"/>
    <x v="2"/>
    <x v="4"/>
    <x v="0"/>
  </r>
  <r>
    <x v="2"/>
    <x v="7"/>
    <x v="2"/>
    <x v="1"/>
    <x v="0"/>
    <x v="1"/>
    <x v="2"/>
    <x v="1"/>
    <x v="0"/>
    <x v="1"/>
    <x v="0"/>
  </r>
  <r>
    <x v="2"/>
    <x v="7"/>
    <x v="2"/>
    <x v="1"/>
    <x v="1"/>
    <x v="1"/>
    <x v="2"/>
    <x v="1"/>
    <x v="0"/>
    <x v="4"/>
    <x v="0"/>
  </r>
  <r>
    <x v="0"/>
    <x v="7"/>
    <x v="2"/>
    <x v="1"/>
    <x v="1"/>
    <x v="1"/>
    <x v="0"/>
    <x v="1"/>
    <x v="2"/>
    <x v="7"/>
    <x v="0"/>
  </r>
  <r>
    <x v="0"/>
    <x v="8"/>
    <x v="0"/>
    <x v="1"/>
    <x v="0"/>
    <x v="1"/>
    <x v="0"/>
    <x v="2"/>
    <x v="1"/>
    <x v="8"/>
    <x v="0"/>
  </r>
  <r>
    <x v="0"/>
    <x v="0"/>
    <x v="0"/>
    <x v="1"/>
    <x v="0"/>
    <x v="0"/>
    <x v="0"/>
    <x v="0"/>
    <x v="2"/>
    <x v="1"/>
    <x v="0"/>
  </r>
  <r>
    <x v="0"/>
    <x v="3"/>
    <x v="0"/>
    <x v="1"/>
    <x v="0"/>
    <x v="0"/>
    <x v="0"/>
    <x v="2"/>
    <x v="2"/>
    <x v="8"/>
    <x v="0"/>
  </r>
  <r>
    <x v="0"/>
    <x v="0"/>
    <x v="0"/>
    <x v="1"/>
    <x v="1"/>
    <x v="0"/>
    <x v="0"/>
    <x v="0"/>
    <x v="2"/>
    <x v="9"/>
    <x v="0"/>
  </r>
  <r>
    <x v="0"/>
    <x v="7"/>
    <x v="2"/>
    <x v="1"/>
    <x v="0"/>
    <x v="1"/>
    <x v="2"/>
    <x v="1"/>
    <x v="2"/>
    <x v="10"/>
    <x v="0"/>
  </r>
  <r>
    <x v="0"/>
    <x v="7"/>
    <x v="2"/>
    <x v="1"/>
    <x v="0"/>
    <x v="1"/>
    <x v="0"/>
    <x v="0"/>
    <x v="0"/>
    <x v="2"/>
    <x v="0"/>
  </r>
  <r>
    <x v="0"/>
    <x v="7"/>
    <x v="2"/>
    <x v="1"/>
    <x v="0"/>
    <x v="0"/>
    <x v="1"/>
    <x v="0"/>
    <x v="0"/>
    <x v="8"/>
    <x v="0"/>
  </r>
  <r>
    <x v="0"/>
    <x v="5"/>
    <x v="2"/>
    <x v="1"/>
    <x v="1"/>
    <x v="0"/>
    <x v="0"/>
    <x v="1"/>
    <x v="2"/>
    <x v="7"/>
    <x v="0"/>
  </r>
  <r>
    <x v="0"/>
    <x v="7"/>
    <x v="2"/>
    <x v="1"/>
    <x v="1"/>
    <x v="0"/>
    <x v="0"/>
    <x v="0"/>
    <x v="1"/>
    <x v="8"/>
    <x v="0"/>
  </r>
  <r>
    <x v="0"/>
    <x v="7"/>
    <x v="2"/>
    <x v="1"/>
    <x v="0"/>
    <x v="1"/>
    <x v="0"/>
    <x v="0"/>
    <x v="0"/>
    <x v="10"/>
    <x v="0"/>
  </r>
  <r>
    <x v="0"/>
    <x v="0"/>
    <x v="0"/>
    <x v="1"/>
    <x v="0"/>
    <x v="0"/>
    <x v="1"/>
    <x v="1"/>
    <x v="2"/>
    <x v="10"/>
    <x v="0"/>
  </r>
  <r>
    <x v="0"/>
    <x v="7"/>
    <x v="2"/>
    <x v="1"/>
    <x v="0"/>
    <x v="1"/>
    <x v="0"/>
    <x v="4"/>
    <x v="1"/>
    <x v="7"/>
    <x v="0"/>
  </r>
  <r>
    <x v="1"/>
    <x v="7"/>
    <x v="2"/>
    <x v="0"/>
    <x v="1"/>
    <x v="1"/>
    <x v="2"/>
    <x v="0"/>
    <x v="1"/>
    <x v="4"/>
    <x v="0"/>
  </r>
  <r>
    <x v="1"/>
    <x v="7"/>
    <x v="2"/>
    <x v="0"/>
    <x v="1"/>
    <x v="1"/>
    <x v="2"/>
    <x v="0"/>
    <x v="0"/>
    <x v="11"/>
    <x v="0"/>
  </r>
  <r>
    <x v="2"/>
    <x v="0"/>
    <x v="0"/>
    <x v="1"/>
    <x v="1"/>
    <x v="1"/>
    <x v="2"/>
    <x v="1"/>
    <x v="1"/>
    <x v="5"/>
    <x v="0"/>
  </r>
  <r>
    <x v="2"/>
    <x v="5"/>
    <x v="2"/>
    <x v="1"/>
    <x v="0"/>
    <x v="0"/>
    <x v="0"/>
    <x v="2"/>
    <x v="2"/>
    <x v="3"/>
    <x v="0"/>
  </r>
  <r>
    <x v="2"/>
    <x v="7"/>
    <x v="2"/>
    <x v="1"/>
    <x v="1"/>
    <x v="1"/>
    <x v="2"/>
    <x v="1"/>
    <x v="2"/>
    <x v="2"/>
    <x v="0"/>
  </r>
  <r>
    <x v="2"/>
    <x v="7"/>
    <x v="2"/>
    <x v="1"/>
    <x v="1"/>
    <x v="1"/>
    <x v="2"/>
    <x v="0"/>
    <x v="2"/>
    <x v="1"/>
    <x v="0"/>
  </r>
  <r>
    <x v="0"/>
    <x v="7"/>
    <x v="2"/>
    <x v="0"/>
    <x v="1"/>
    <x v="0"/>
    <x v="0"/>
    <x v="1"/>
    <x v="2"/>
    <x v="12"/>
    <x v="0"/>
  </r>
  <r>
    <x v="0"/>
    <x v="2"/>
    <x v="2"/>
    <x v="1"/>
    <x v="0"/>
    <x v="1"/>
    <x v="1"/>
    <x v="0"/>
    <x v="0"/>
    <x v="0"/>
    <x v="0"/>
  </r>
  <r>
    <x v="0"/>
    <x v="2"/>
    <x v="2"/>
    <x v="1"/>
    <x v="1"/>
    <x v="1"/>
    <x v="2"/>
    <x v="1"/>
    <x v="2"/>
    <x v="4"/>
    <x v="0"/>
  </r>
  <r>
    <x v="0"/>
    <x v="2"/>
    <x v="2"/>
    <x v="1"/>
    <x v="1"/>
    <x v="1"/>
    <x v="2"/>
    <x v="0"/>
    <x v="0"/>
    <x v="1"/>
    <x v="0"/>
  </r>
  <r>
    <x v="0"/>
    <x v="2"/>
    <x v="2"/>
    <x v="1"/>
    <x v="1"/>
    <x v="0"/>
    <x v="1"/>
    <x v="0"/>
    <x v="2"/>
    <x v="2"/>
    <x v="0"/>
  </r>
  <r>
    <x v="0"/>
    <x v="2"/>
    <x v="2"/>
    <x v="1"/>
    <x v="0"/>
    <x v="1"/>
    <x v="1"/>
    <x v="0"/>
    <x v="0"/>
    <x v="0"/>
    <x v="1"/>
  </r>
  <r>
    <x v="3"/>
    <x v="0"/>
    <x v="0"/>
    <x v="1"/>
    <x v="1"/>
    <x v="1"/>
    <x v="2"/>
    <x v="1"/>
    <x v="2"/>
    <x v="1"/>
    <x v="0"/>
  </r>
  <r>
    <x v="1"/>
    <x v="7"/>
    <x v="2"/>
    <x v="1"/>
    <x v="1"/>
    <x v="1"/>
    <x v="2"/>
    <x v="2"/>
    <x v="0"/>
    <x v="2"/>
    <x v="0"/>
  </r>
  <r>
    <x v="2"/>
    <x v="2"/>
    <x v="2"/>
    <x v="1"/>
    <x v="1"/>
    <x v="1"/>
    <x v="2"/>
    <x v="0"/>
    <x v="2"/>
    <x v="4"/>
    <x v="0"/>
  </r>
  <r>
    <x v="2"/>
    <x v="7"/>
    <x v="2"/>
    <x v="1"/>
    <x v="1"/>
    <x v="1"/>
    <x v="2"/>
    <x v="0"/>
    <x v="2"/>
    <x v="7"/>
    <x v="0"/>
  </r>
  <r>
    <x v="2"/>
    <x v="3"/>
    <x v="0"/>
    <x v="1"/>
    <x v="1"/>
    <x v="0"/>
    <x v="2"/>
    <x v="1"/>
    <x v="1"/>
    <x v="5"/>
    <x v="0"/>
  </r>
  <r>
    <x v="2"/>
    <x v="3"/>
    <x v="0"/>
    <x v="1"/>
    <x v="1"/>
    <x v="0"/>
    <x v="2"/>
    <x v="2"/>
    <x v="0"/>
    <x v="12"/>
    <x v="0"/>
  </r>
  <r>
    <x v="2"/>
    <x v="8"/>
    <x v="0"/>
    <x v="1"/>
    <x v="0"/>
    <x v="0"/>
    <x v="2"/>
    <x v="0"/>
    <x v="2"/>
    <x v="8"/>
    <x v="0"/>
  </r>
  <r>
    <x v="2"/>
    <x v="7"/>
    <x v="2"/>
    <x v="1"/>
    <x v="0"/>
    <x v="1"/>
    <x v="2"/>
    <x v="0"/>
    <x v="2"/>
    <x v="3"/>
    <x v="0"/>
  </r>
  <r>
    <x v="2"/>
    <x v="4"/>
    <x v="1"/>
    <x v="1"/>
    <x v="1"/>
    <x v="0"/>
    <x v="2"/>
    <x v="2"/>
    <x v="0"/>
    <x v="5"/>
    <x v="0"/>
  </r>
  <r>
    <x v="0"/>
    <x v="1"/>
    <x v="1"/>
    <x v="1"/>
    <x v="0"/>
    <x v="1"/>
    <x v="2"/>
    <x v="1"/>
    <x v="2"/>
    <x v="7"/>
    <x v="0"/>
  </r>
  <r>
    <x v="2"/>
    <x v="6"/>
    <x v="0"/>
    <x v="1"/>
    <x v="0"/>
    <x v="0"/>
    <x v="2"/>
    <x v="0"/>
    <x v="0"/>
    <x v="8"/>
    <x v="0"/>
  </r>
  <r>
    <x v="0"/>
    <x v="1"/>
    <x v="1"/>
    <x v="1"/>
    <x v="1"/>
    <x v="1"/>
    <x v="2"/>
    <x v="2"/>
    <x v="2"/>
    <x v="8"/>
    <x v="0"/>
  </r>
  <r>
    <x v="0"/>
    <x v="6"/>
    <x v="0"/>
    <x v="1"/>
    <x v="0"/>
    <x v="0"/>
    <x v="2"/>
    <x v="1"/>
    <x v="2"/>
    <x v="5"/>
    <x v="0"/>
  </r>
  <r>
    <x v="0"/>
    <x v="3"/>
    <x v="0"/>
    <x v="1"/>
    <x v="1"/>
    <x v="1"/>
    <x v="2"/>
    <x v="1"/>
    <x v="1"/>
    <x v="13"/>
    <x v="1"/>
  </r>
  <r>
    <x v="0"/>
    <x v="9"/>
    <x v="1"/>
    <x v="1"/>
    <x v="0"/>
    <x v="1"/>
    <x v="0"/>
    <x v="2"/>
    <x v="1"/>
    <x v="1"/>
    <x v="0"/>
  </r>
  <r>
    <x v="0"/>
    <x v="3"/>
    <x v="0"/>
    <x v="1"/>
    <x v="0"/>
    <x v="0"/>
    <x v="0"/>
    <x v="2"/>
    <x v="1"/>
    <x v="5"/>
    <x v="0"/>
  </r>
  <r>
    <x v="0"/>
    <x v="3"/>
    <x v="0"/>
    <x v="1"/>
    <x v="0"/>
    <x v="0"/>
    <x v="2"/>
    <x v="0"/>
    <x v="1"/>
    <x v="5"/>
    <x v="0"/>
  </r>
  <r>
    <x v="0"/>
    <x v="6"/>
    <x v="0"/>
    <x v="1"/>
    <x v="0"/>
    <x v="0"/>
    <x v="0"/>
    <x v="1"/>
    <x v="2"/>
    <x v="1"/>
    <x v="0"/>
  </r>
  <r>
    <x v="0"/>
    <x v="6"/>
    <x v="0"/>
    <x v="1"/>
    <x v="0"/>
    <x v="0"/>
    <x v="0"/>
    <x v="1"/>
    <x v="1"/>
    <x v="3"/>
    <x v="0"/>
  </r>
  <r>
    <x v="0"/>
    <x v="6"/>
    <x v="0"/>
    <x v="1"/>
    <x v="0"/>
    <x v="0"/>
    <x v="2"/>
    <x v="0"/>
    <x v="2"/>
    <x v="3"/>
    <x v="0"/>
  </r>
  <r>
    <x v="3"/>
    <x v="3"/>
    <x v="0"/>
    <x v="1"/>
    <x v="1"/>
    <x v="1"/>
    <x v="0"/>
    <x v="1"/>
    <x v="1"/>
    <x v="13"/>
    <x v="0"/>
  </r>
  <r>
    <x v="3"/>
    <x v="3"/>
    <x v="0"/>
    <x v="1"/>
    <x v="0"/>
    <x v="1"/>
    <x v="0"/>
    <x v="0"/>
    <x v="2"/>
    <x v="3"/>
    <x v="0"/>
  </r>
  <r>
    <x v="3"/>
    <x v="3"/>
    <x v="0"/>
    <x v="1"/>
    <x v="1"/>
    <x v="0"/>
    <x v="0"/>
    <x v="0"/>
    <x v="2"/>
    <x v="4"/>
    <x v="1"/>
  </r>
  <r>
    <x v="1"/>
    <x v="7"/>
    <x v="2"/>
    <x v="1"/>
    <x v="1"/>
    <x v="1"/>
    <x v="0"/>
    <x v="2"/>
    <x v="1"/>
    <x v="2"/>
    <x v="0"/>
  </r>
  <r>
    <x v="2"/>
    <x v="0"/>
    <x v="0"/>
    <x v="1"/>
    <x v="1"/>
    <x v="1"/>
    <x v="0"/>
    <x v="1"/>
    <x v="2"/>
    <x v="2"/>
    <x v="0"/>
  </r>
  <r>
    <x v="2"/>
    <x v="5"/>
    <x v="2"/>
    <x v="1"/>
    <x v="1"/>
    <x v="1"/>
    <x v="0"/>
    <x v="0"/>
    <x v="0"/>
    <x v="2"/>
    <x v="0"/>
  </r>
  <r>
    <x v="2"/>
    <x v="0"/>
    <x v="0"/>
    <x v="1"/>
    <x v="0"/>
    <x v="0"/>
    <x v="0"/>
    <x v="1"/>
    <x v="2"/>
    <x v="1"/>
    <x v="0"/>
  </r>
  <r>
    <x v="2"/>
    <x v="0"/>
    <x v="0"/>
    <x v="1"/>
    <x v="1"/>
    <x v="0"/>
    <x v="0"/>
    <x v="1"/>
    <x v="0"/>
    <x v="8"/>
    <x v="0"/>
  </r>
  <r>
    <x v="2"/>
    <x v="0"/>
    <x v="0"/>
    <x v="0"/>
    <x v="0"/>
    <x v="0"/>
    <x v="0"/>
    <x v="2"/>
    <x v="2"/>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08_Season"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6">
  <location ref="F30:I36" firstHeaderRow="1" firstDataRow="2" firstDataCol="1"/>
  <pivotFields count="11">
    <pivotField axis="axisRow"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0"/>
  </rowFields>
  <rowItems count="5">
    <i>
      <x/>
    </i>
    <i>
      <x v="1"/>
    </i>
    <i>
      <x v="2"/>
    </i>
    <i>
      <x v="3"/>
    </i>
    <i t="grand">
      <x/>
    </i>
  </rowItems>
  <colFields count="1">
    <field x="10"/>
  </colFields>
  <colItems count="3">
    <i>
      <x/>
    </i>
    <i>
      <x v="1"/>
    </i>
    <i t="grand">
      <x/>
    </i>
  </colItems>
  <dataFields count="1">
    <dataField name="Count of Diagnosis" fld="10" subtotal="count" showDataAs="percentOfRow" baseField="0" baseItem="0" numFmtId="10"/>
  </dataFields>
  <chartFormats count="18">
    <chartFormat chart="10" format="2" series="1">
      <pivotArea type="data" outline="0" fieldPosition="0">
        <references count="2">
          <reference field="4294967294" count="1" selected="0">
            <x v="0"/>
          </reference>
          <reference field="10" count="1" selected="0">
            <x v="0"/>
          </reference>
        </references>
      </pivotArea>
    </chartFormat>
    <chartFormat chart="10" format="3" series="1">
      <pivotArea type="data" outline="0" fieldPosition="0">
        <references count="2">
          <reference field="4294967294" count="1" selected="0">
            <x v="0"/>
          </reference>
          <reference field="10" count="1" selected="0">
            <x v="1"/>
          </reference>
        </references>
      </pivotArea>
    </chartFormat>
    <chartFormat chart="10" format="2" series="1">
      <pivotArea type="data" outline="0" fieldPosition="0">
        <references count="2">
          <reference field="4294967294" count="1" selected="0">
            <x v="0"/>
          </reference>
          <reference field="10" count="1" selected="0">
            <x v="0"/>
          </reference>
        </references>
      </pivotArea>
    </chartFormat>
    <chartFormat chart="10" format="3" series="1">
      <pivotArea type="data" outline="0" fieldPosition="0">
        <references count="2">
          <reference field="4294967294" count="1" selected="0">
            <x v="0"/>
          </reference>
          <reference field="10" count="1" selected="0">
            <x v="1"/>
          </reference>
        </references>
      </pivotArea>
    </chartFormat>
    <chartFormat chart="10" format="2" series="1">
      <pivotArea type="data" outline="0" fieldPosition="0">
        <references count="2">
          <reference field="4294967294" count="1" selected="0">
            <x v="0"/>
          </reference>
          <reference field="10" count="1" selected="0">
            <x v="0"/>
          </reference>
        </references>
      </pivotArea>
    </chartFormat>
    <chartFormat chart="10" format="3" series="1">
      <pivotArea type="data" outline="0" fieldPosition="0">
        <references count="2">
          <reference field="4294967294" count="1" selected="0">
            <x v="0"/>
          </reference>
          <reference field="10" count="1" selected="0">
            <x v="1"/>
          </reference>
        </references>
      </pivotArea>
    </chartFormat>
    <chartFormat chart="10" format="2" series="1">
      <pivotArea type="data" outline="0" fieldPosition="0">
        <references count="2">
          <reference field="4294967294" count="1" selected="0">
            <x v="0"/>
          </reference>
          <reference field="10" count="1" selected="0">
            <x v="0"/>
          </reference>
        </references>
      </pivotArea>
    </chartFormat>
    <chartFormat chart="10" format="3" series="1">
      <pivotArea type="data" outline="0" fieldPosition="0">
        <references count="2">
          <reference field="4294967294" count="1" selected="0">
            <x v="0"/>
          </reference>
          <reference field="10" count="1" selected="0">
            <x v="1"/>
          </reference>
        </references>
      </pivotArea>
    </chartFormat>
    <chartFormat chart="15" format="24" series="1">
      <pivotArea type="data" outline="0" fieldPosition="0">
        <references count="2">
          <reference field="4294967294" count="1" selected="0">
            <x v="0"/>
          </reference>
          <reference field="10" count="1" selected="0">
            <x v="0"/>
          </reference>
        </references>
      </pivotArea>
    </chartFormat>
    <chartFormat chart="15" format="25" series="1">
      <pivotArea type="data" outline="0" fieldPosition="0">
        <references count="2">
          <reference field="4294967294" count="1" selected="0">
            <x v="0"/>
          </reference>
          <reference field="10" count="1" selected="0">
            <x v="1"/>
          </reference>
        </references>
      </pivotArea>
    </chartFormat>
    <chartFormat chart="15" format="26">
      <pivotArea type="data" outline="0" fieldPosition="0">
        <references count="3">
          <reference field="4294967294" count="1" selected="0">
            <x v="0"/>
          </reference>
          <reference field="0" count="1" selected="0">
            <x v="0"/>
          </reference>
          <reference field="10" count="1" selected="0">
            <x v="0"/>
          </reference>
        </references>
      </pivotArea>
    </chartFormat>
    <chartFormat chart="15" format="27">
      <pivotArea type="data" outline="0" fieldPosition="0">
        <references count="3">
          <reference field="4294967294" count="1" selected="0">
            <x v="0"/>
          </reference>
          <reference field="0" count="1" selected="0">
            <x v="1"/>
          </reference>
          <reference field="10" count="1" selected="0">
            <x v="0"/>
          </reference>
        </references>
      </pivotArea>
    </chartFormat>
    <chartFormat chart="15" format="28">
      <pivotArea type="data" outline="0" fieldPosition="0">
        <references count="3">
          <reference field="4294967294" count="1" selected="0">
            <x v="0"/>
          </reference>
          <reference field="0" count="1" selected="0">
            <x v="2"/>
          </reference>
          <reference field="10" count="1" selected="0">
            <x v="0"/>
          </reference>
        </references>
      </pivotArea>
    </chartFormat>
    <chartFormat chart="15" format="29">
      <pivotArea type="data" outline="0" fieldPosition="0">
        <references count="3">
          <reference field="4294967294" count="1" selected="0">
            <x v="0"/>
          </reference>
          <reference field="0" count="1" selected="0">
            <x v="3"/>
          </reference>
          <reference field="10" count="1" selected="0">
            <x v="0"/>
          </reference>
        </references>
      </pivotArea>
    </chartFormat>
    <chartFormat chart="15" format="30">
      <pivotArea type="data" outline="0" fieldPosition="0">
        <references count="3">
          <reference field="4294967294" count="1" selected="0">
            <x v="0"/>
          </reference>
          <reference field="0" count="1" selected="0">
            <x v="0"/>
          </reference>
          <reference field="10" count="1" selected="0">
            <x v="1"/>
          </reference>
        </references>
      </pivotArea>
    </chartFormat>
    <chartFormat chart="15" format="31">
      <pivotArea type="data" outline="0" fieldPosition="0">
        <references count="3">
          <reference field="4294967294" count="1" selected="0">
            <x v="0"/>
          </reference>
          <reference field="0" count="1" selected="0">
            <x v="1"/>
          </reference>
          <reference field="10" count="1" selected="0">
            <x v="1"/>
          </reference>
        </references>
      </pivotArea>
    </chartFormat>
    <chartFormat chart="15" format="32">
      <pivotArea type="data" outline="0" fieldPosition="0">
        <references count="3">
          <reference field="4294967294" count="1" selected="0">
            <x v="0"/>
          </reference>
          <reference field="0" count="1" selected="0">
            <x v="2"/>
          </reference>
          <reference field="10" count="1" selected="0">
            <x v="1"/>
          </reference>
        </references>
      </pivotArea>
    </chartFormat>
    <chartFormat chart="15" format="33">
      <pivotArea type="data" outline="0" fieldPosition="0">
        <references count="3">
          <reference field="4294967294" count="1" selected="0">
            <x v="0"/>
          </reference>
          <reference field="0" count="1" selected="0">
            <x v="3"/>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01_Smoking_Habit"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0">
  <location ref="A3:D8"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items count="3">
        <item x="0"/>
        <item x="1"/>
        <item t="default"/>
      </items>
    </pivotField>
    <pivotField compact="0" outline="0" showAll="0"/>
    <pivotField compact="0" outline="0" showAll="0">
      <items count="3">
        <item x="1"/>
        <item x="0"/>
        <item t="default"/>
      </items>
    </pivotField>
    <pivotField compact="0" outline="0" showAll="0"/>
    <pivotField compact="0" outline="0" showAll="0">
      <items count="6">
        <item x="4"/>
        <item x="1"/>
        <item x="0"/>
        <item x="3"/>
        <item x="2"/>
        <item t="default"/>
      </items>
    </pivotField>
    <pivotField axis="axisRow"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8"/>
  </rowFields>
  <rowItems count="4">
    <i>
      <x/>
    </i>
    <i>
      <x v="1"/>
    </i>
    <i>
      <x v="2"/>
    </i>
    <i t="grand">
      <x/>
    </i>
  </rowItems>
  <colFields count="1">
    <field x="10"/>
  </colFields>
  <colItems count="3">
    <i>
      <x/>
    </i>
    <i>
      <x v="1"/>
    </i>
    <i t="grand">
      <x/>
    </i>
  </colItems>
  <dataFields count="1">
    <dataField name="Count of Diagnosis" fld="10" subtotal="count" baseField="0" baseItem="0"/>
  </dataFields>
  <chartFormats count="8">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7" format="2" series="1">
      <pivotArea type="data" outline="0" fieldPosition="0">
        <references count="2">
          <reference field="4294967294" count="1" selected="0">
            <x v="0"/>
          </reference>
          <reference field="10" count="1" selected="0">
            <x v="0"/>
          </reference>
        </references>
      </pivotArea>
    </chartFormat>
    <chartFormat chart="7" format="3" series="1">
      <pivotArea type="data" outline="0" fieldPosition="0">
        <references count="2">
          <reference field="4294967294" count="1" selected="0">
            <x v="0"/>
          </reference>
          <reference field="10" count="1" selected="0">
            <x v="1"/>
          </reference>
        </references>
      </pivotArea>
    </chartFormat>
    <chartFormat chart="8" format="4" series="1">
      <pivotArea type="data" outline="0" fieldPosition="0">
        <references count="2">
          <reference field="4294967294" count="1" selected="0">
            <x v="0"/>
          </reference>
          <reference field="10" count="1" selected="0">
            <x v="0"/>
          </reference>
        </references>
      </pivotArea>
    </chartFormat>
    <chartFormat chart="8" format="5" series="1">
      <pivotArea type="data" outline="0" fieldPosition="0">
        <references count="2">
          <reference field="4294967294" count="1" selected="0">
            <x v="0"/>
          </reference>
          <reference field="10" count="1" selected="0">
            <x v="1"/>
          </reference>
        </references>
      </pivotArea>
    </chartFormat>
    <chartFormat chart="9" format="4" series="1">
      <pivotArea type="data" outline="0" fieldPosition="0">
        <references count="2">
          <reference field="4294967294" count="1" selected="0">
            <x v="0"/>
          </reference>
          <reference field="10" count="1" selected="0">
            <x v="0"/>
          </reference>
        </references>
      </pivotArea>
    </chartFormat>
    <chartFormat chart="9"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07_Age"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1">
  <location ref="A30:D42" firstHeaderRow="1" firstDataRow="2" firstDataCol="1"/>
  <pivotFields count="11">
    <pivotField compact="0" outline="0" showAll="0">
      <items count="5">
        <item x="1"/>
        <item x="0"/>
        <item x="3"/>
        <item x="2"/>
        <item t="default"/>
      </items>
    </pivotField>
    <pivotField axis="axisRow" compact="0" outline="0" showAll="0">
      <items count="11">
        <item x="2"/>
        <item x="7"/>
        <item x="5"/>
        <item x="0"/>
        <item x="8"/>
        <item x="3"/>
        <item x="6"/>
        <item x="9"/>
        <item x="1"/>
        <item x="4"/>
        <item t="default"/>
      </items>
    </pivotField>
    <pivotField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1"/>
  </rowFields>
  <rowItems count="11">
    <i>
      <x/>
    </i>
    <i>
      <x v="1"/>
    </i>
    <i>
      <x v="2"/>
    </i>
    <i>
      <x v="3"/>
    </i>
    <i>
      <x v="4"/>
    </i>
    <i>
      <x v="5"/>
    </i>
    <i>
      <x v="6"/>
    </i>
    <i>
      <x v="7"/>
    </i>
    <i>
      <x v="8"/>
    </i>
    <i>
      <x v="9"/>
    </i>
    <i t="grand">
      <x/>
    </i>
  </rowItems>
  <colFields count="1">
    <field x="10"/>
  </colFields>
  <colItems count="3">
    <i>
      <x/>
    </i>
    <i>
      <x v="1"/>
    </i>
    <i t="grand">
      <x/>
    </i>
  </colItems>
  <dataFields count="1">
    <dataField name="Count of Diagnosis" fld="10" subtotal="count" baseField="0" baseItem="0"/>
  </dataFields>
  <chartFormats count="2">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04_Childish_diseases"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P3:S7"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axis="axisRow" compact="0" outline="0" showAll="0">
      <items count="3">
        <item x="0"/>
        <item x="1"/>
        <item t="default"/>
      </items>
    </pivotField>
    <pivotField compact="0" outline="0" showAll="0"/>
    <pivotField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3"/>
  </rowFields>
  <rowItems count="3">
    <i>
      <x/>
    </i>
    <i>
      <x v="1"/>
    </i>
    <i t="grand">
      <x/>
    </i>
  </rowItems>
  <colFields count="1">
    <field x="10"/>
  </colFields>
  <colItems count="3">
    <i>
      <x/>
    </i>
    <i>
      <x v="1"/>
    </i>
    <i t="grand">
      <x/>
    </i>
  </colItems>
  <dataFields count="1">
    <dataField name="Count of Diagnosis" fld="10"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25">
  <location ref="Q30:T38"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axis="axisRow"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9"/>
  </rowFields>
  <rowItems count="7">
    <i>
      <x v="1"/>
    </i>
    <i>
      <x v="2"/>
    </i>
    <i>
      <x v="3"/>
    </i>
    <i>
      <x v="4"/>
    </i>
    <i>
      <x v="5"/>
    </i>
    <i>
      <x v="6"/>
    </i>
    <i t="grand">
      <x/>
    </i>
  </rowItems>
  <colFields count="1">
    <field x="10"/>
  </colFields>
  <colItems count="3">
    <i>
      <x/>
    </i>
    <i>
      <x v="1"/>
    </i>
    <i t="grand">
      <x/>
    </i>
  </colItems>
  <dataFields count="1">
    <dataField name="Count of Diagnosis" fld="10" subtotal="count" showDataAs="percentOfRow" baseField="0" baseItem="0" numFmtId="10"/>
  </dataFields>
  <chartFormats count="16">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 chart="16" format="4" series="1">
      <pivotArea type="data" outline="0" fieldPosition="0">
        <references count="2">
          <reference field="4294967294" count="1" selected="0">
            <x v="0"/>
          </reference>
          <reference field="10" count="1" selected="0">
            <x v="0"/>
          </reference>
        </references>
      </pivotArea>
    </chartFormat>
    <chartFormat chart="16" format="5" series="1">
      <pivotArea type="data" outline="0" fieldPosition="0">
        <references count="2">
          <reference field="4294967294" count="1" selected="0">
            <x v="0"/>
          </reference>
          <reference field="10" count="1" selected="0">
            <x v="1"/>
          </reference>
        </references>
      </pivotArea>
    </chartFormat>
    <chartFormat chart="17" format="2" series="1">
      <pivotArea type="data" outline="0" fieldPosition="0">
        <references count="2">
          <reference field="4294967294" count="1" selected="0">
            <x v="0"/>
          </reference>
          <reference field="10" count="1" selected="0">
            <x v="0"/>
          </reference>
        </references>
      </pivotArea>
    </chartFormat>
    <chartFormat chart="17" format="3" series="1">
      <pivotArea type="data" outline="0" fieldPosition="0">
        <references count="2">
          <reference field="4294967294" count="1" selected="0">
            <x v="0"/>
          </reference>
          <reference field="10" count="1" selected="0">
            <x v="1"/>
          </reference>
        </references>
      </pivotArea>
    </chartFormat>
    <chartFormat chart="18" format="10" series="1">
      <pivotArea type="data" outline="0" fieldPosition="0">
        <references count="2">
          <reference field="4294967294" count="1" selected="0">
            <x v="0"/>
          </reference>
          <reference field="10" count="1" selected="0">
            <x v="0"/>
          </reference>
        </references>
      </pivotArea>
    </chartFormat>
    <chartFormat chart="18" format="14" series="1">
      <pivotArea type="data" outline="0" fieldPosition="0">
        <references count="2">
          <reference field="4294967294" count="1" selected="0">
            <x v="0"/>
          </reference>
          <reference field="10" count="1" selected="0">
            <x v="1"/>
          </reference>
        </references>
      </pivotArea>
    </chartFormat>
    <chartFormat chart="19" format="18" series="1">
      <pivotArea type="data" outline="0" fieldPosition="0">
        <references count="2">
          <reference field="4294967294" count="1" selected="0">
            <x v="0"/>
          </reference>
          <reference field="10" count="1" selected="0">
            <x v="0"/>
          </reference>
        </references>
      </pivotArea>
    </chartFormat>
    <chartFormat chart="19" format="22" series="1">
      <pivotArea type="data" outline="0" fieldPosition="0">
        <references count="2">
          <reference field="4294967294" count="1" selected="0">
            <x v="0"/>
          </reference>
          <reference field="10" count="1" selected="0">
            <x v="1"/>
          </reference>
        </references>
      </pivotArea>
    </chartFormat>
    <chartFormat chart="20" format="26" series="1">
      <pivotArea type="data" outline="0" fieldPosition="0">
        <references count="2">
          <reference field="4294967294" count="1" selected="0">
            <x v="0"/>
          </reference>
          <reference field="10" count="1" selected="0">
            <x v="0"/>
          </reference>
        </references>
      </pivotArea>
    </chartFormat>
    <chartFormat chart="20" format="27" series="1">
      <pivotArea type="data" outline="0" fieldPosition="0">
        <references count="2">
          <reference field="4294967294" count="1" selected="0">
            <x v="0"/>
          </reference>
          <reference field="10" count="1" selected="0">
            <x v="1"/>
          </reference>
        </references>
      </pivotArea>
    </chartFormat>
    <chartFormat chart="24" format="4" series="1">
      <pivotArea type="data" outline="0" fieldPosition="0">
        <references count="2">
          <reference field="4294967294" count="1" selected="0">
            <x v="0"/>
          </reference>
          <reference field="10" count="1" selected="0">
            <x v="0"/>
          </reference>
        </references>
      </pivotArea>
    </chartFormat>
    <chartFormat chart="24" format="5" series="1">
      <pivotArea type="data" outline="0" fieldPosition="0">
        <references count="2">
          <reference field="4294967294" count="1" selected="0">
            <x v="0"/>
          </reference>
          <reference field="10" count="1" selected="0">
            <x v="1"/>
          </reference>
        </references>
      </pivotArea>
    </chartFormat>
    <chartFormat chart="21" format="2" series="1">
      <pivotArea type="data" outline="0" fieldPosition="0">
        <references count="2">
          <reference field="4294967294" count="1" selected="0">
            <x v="0"/>
          </reference>
          <reference field="10" count="1" selected="0">
            <x v="0"/>
          </reference>
        </references>
      </pivotArea>
    </chartFormat>
    <chartFormat chart="21" format="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06_Accident_or_Serious_Trauma"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Z3:AC7"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pivotField axis="axisRow" compact="0" outline="0" showAll="0">
      <items count="3">
        <item x="1"/>
        <item x="0"/>
        <item t="default"/>
      </items>
    </pivotField>
    <pivotField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4"/>
  </rowFields>
  <rowItems count="3">
    <i>
      <x/>
    </i>
    <i>
      <x v="1"/>
    </i>
    <i t="grand">
      <x/>
    </i>
  </rowItems>
  <colFields count="1">
    <field x="10"/>
  </colFields>
  <colItems count="3">
    <i>
      <x/>
    </i>
    <i>
      <x v="1"/>
    </i>
    <i t="grand">
      <x/>
    </i>
  </colItems>
  <dataFields count="1">
    <dataField name="Count of Diagnosis" fld="10"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T05_Surgical_intervention"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U3:X7"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pivotField compact="0" outline="0" showAll="0"/>
    <pivotField axis="axisRow"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5"/>
  </rowFields>
  <rowItems count="3">
    <i>
      <x/>
    </i>
    <i>
      <x v="1"/>
    </i>
    <i t="grand">
      <x/>
    </i>
  </rowItems>
  <colFields count="1">
    <field x="10"/>
  </colFields>
  <colItems count="3">
    <i>
      <x/>
    </i>
    <i>
      <x v="1"/>
    </i>
    <i t="grand">
      <x/>
    </i>
  </colItems>
  <dataFields count="1">
    <dataField name="Count of Diagnosis" fld="10"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T02_Alcohol_Consumption"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F3:I10"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 compact="0" outline="0" showAll="0"/>
    <pivotField axis="axisRow"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7"/>
  </rowFields>
  <rowItems count="6">
    <i>
      <x/>
    </i>
    <i>
      <x v="1"/>
    </i>
    <i>
      <x v="2"/>
    </i>
    <i>
      <x v="3"/>
    </i>
    <i>
      <x v="4"/>
    </i>
    <i t="grand">
      <x/>
    </i>
  </rowItems>
  <colFields count="1">
    <field x="10"/>
  </colFields>
  <colItems count="3">
    <i>
      <x/>
    </i>
    <i>
      <x v="1"/>
    </i>
    <i t="grand">
      <x/>
    </i>
  </colItems>
  <dataFields count="1">
    <dataField name="Count of Diagnosis" fld="1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T03_High_Fevers"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K3:N8" firstHeaderRow="1" firstDataRow="2" firstDataCol="1"/>
  <pivotFields count="11">
    <pivotField compact="0" outline="0" showAll="0">
      <items count="5">
        <item x="1"/>
        <item x="0"/>
        <item x="3"/>
        <item x="2"/>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 axis="axisRow" compact="0" outline="0" showAll="0">
      <items count="4">
        <item x="1"/>
        <item x="0"/>
        <item x="2"/>
        <item t="default"/>
      </items>
    </pivotField>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6"/>
  </rowFields>
  <rowItems count="4">
    <i>
      <x/>
    </i>
    <i>
      <x v="1"/>
    </i>
    <i>
      <x v="2"/>
    </i>
    <i t="grand">
      <x/>
    </i>
  </rowItems>
  <colFields count="1">
    <field x="10"/>
  </colFields>
  <colItems count="3">
    <i>
      <x/>
    </i>
    <i>
      <x v="1"/>
    </i>
    <i t="grand">
      <x/>
    </i>
  </colItems>
  <dataFields count="1">
    <dataField name="Count of Diagnosis" fld="10"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22">
  <location ref="L30:O35" firstHeaderRow="1" firstDataRow="2" firstDataCol="1"/>
  <pivotFields count="11">
    <pivotField compact="0" outline="0" showAll="0">
      <items count="5">
        <item x="1"/>
        <item x="0"/>
        <item x="3"/>
        <item x="2"/>
        <item t="default"/>
      </items>
    </pivotField>
    <pivotField compact="0" outline="0" showAll="0"/>
    <pivotField axis="axisRow"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items count="6">
        <item x="4"/>
        <item x="1"/>
        <item x="0"/>
        <item x="3"/>
        <item x="2"/>
        <item t="default"/>
      </items>
    </pivotField>
    <pivotField compact="0" outline="0" showAll="0">
      <items count="4">
        <item x="1"/>
        <item x="2"/>
        <item x="0"/>
        <item t="default"/>
      </items>
    </pivotField>
    <pivotField compact="0" outline="0" showAll="0">
      <items count="9">
        <item x="0"/>
        <item x="1"/>
        <item x="2"/>
        <item x="3"/>
        <item x="4"/>
        <item x="5"/>
        <item x="6"/>
        <item x="7"/>
        <item t="default"/>
      </items>
    </pivotField>
    <pivotField axis="axisCol" dataField="1" compact="0" outline="0" showAll="0">
      <items count="3">
        <item x="1"/>
        <item x="0"/>
        <item t="default"/>
      </items>
    </pivotField>
  </pivotFields>
  <rowFields count="1">
    <field x="2"/>
  </rowFields>
  <rowItems count="4">
    <i>
      <x/>
    </i>
    <i>
      <x v="1"/>
    </i>
    <i>
      <x v="2"/>
    </i>
    <i t="grand">
      <x/>
    </i>
  </rowItems>
  <colFields count="1">
    <field x="10"/>
  </colFields>
  <colItems count="3">
    <i>
      <x/>
    </i>
    <i>
      <x v="1"/>
    </i>
    <i t="grand">
      <x/>
    </i>
  </colItems>
  <dataFields count="1">
    <dataField name="Count of Diagnosis" fld="10" subtotal="count" showDataAs="percentOfRow" baseField="0" baseItem="0" numFmtId="10"/>
  </dataFields>
  <chartFormats count="36">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 chart="16" format="4" series="1">
      <pivotArea type="data" outline="0" fieldPosition="0">
        <references count="2">
          <reference field="4294967294" count="1" selected="0">
            <x v="0"/>
          </reference>
          <reference field="10" count="1" selected="0">
            <x v="0"/>
          </reference>
        </references>
      </pivotArea>
    </chartFormat>
    <chartFormat chart="16" format="5" series="1">
      <pivotArea type="data" outline="0" fieldPosition="0">
        <references count="2">
          <reference field="4294967294" count="1" selected="0">
            <x v="0"/>
          </reference>
          <reference field="10" count="1" selected="0">
            <x v="1"/>
          </reference>
        </references>
      </pivotArea>
    </chartFormat>
    <chartFormat chart="17" format="2" series="1">
      <pivotArea type="data" outline="0" fieldPosition="0">
        <references count="2">
          <reference field="4294967294" count="1" selected="0">
            <x v="0"/>
          </reference>
          <reference field="10" count="1" selected="0">
            <x v="0"/>
          </reference>
        </references>
      </pivotArea>
    </chartFormat>
    <chartFormat chart="17" format="3" series="1">
      <pivotArea type="data" outline="0" fieldPosition="0">
        <references count="2">
          <reference field="4294967294" count="1" selected="0">
            <x v="0"/>
          </reference>
          <reference field="10" count="1" selected="0">
            <x v="1"/>
          </reference>
        </references>
      </pivotArea>
    </chartFormat>
    <chartFormat chart="17" format="4">
      <pivotArea type="data" outline="0" fieldPosition="0">
        <references count="3">
          <reference field="4294967294" count="1" selected="0">
            <x v="0"/>
          </reference>
          <reference field="2" count="1" selected="0">
            <x v="0"/>
          </reference>
          <reference field="10" count="1" selected="0">
            <x v="0"/>
          </reference>
        </references>
      </pivotArea>
    </chartFormat>
    <chartFormat chart="17" format="5">
      <pivotArea type="data" outline="0" fieldPosition="0">
        <references count="3">
          <reference field="4294967294" count="1" selected="0">
            <x v="0"/>
          </reference>
          <reference field="2" count="1" selected="0">
            <x v="1"/>
          </reference>
          <reference field="10" count="1" selected="0">
            <x v="0"/>
          </reference>
        </references>
      </pivotArea>
    </chartFormat>
    <chartFormat chart="17" format="6">
      <pivotArea type="data" outline="0" fieldPosition="0">
        <references count="3">
          <reference field="4294967294" count="1" selected="0">
            <x v="0"/>
          </reference>
          <reference field="2" count="1" selected="0">
            <x v="2"/>
          </reference>
          <reference field="10" count="1" selected="0">
            <x v="0"/>
          </reference>
        </references>
      </pivotArea>
    </chartFormat>
    <chartFormat chart="17" format="7">
      <pivotArea type="data" outline="0" fieldPosition="0">
        <references count="3">
          <reference field="4294967294" count="1" selected="0">
            <x v="0"/>
          </reference>
          <reference field="2" count="1" selected="0">
            <x v="0"/>
          </reference>
          <reference field="10" count="1" selected="0">
            <x v="1"/>
          </reference>
        </references>
      </pivotArea>
    </chartFormat>
    <chartFormat chart="17" format="8">
      <pivotArea type="data" outline="0" fieldPosition="0">
        <references count="3">
          <reference field="4294967294" count="1" selected="0">
            <x v="0"/>
          </reference>
          <reference field="2" count="1" selected="0">
            <x v="1"/>
          </reference>
          <reference field="10" count="1" selected="0">
            <x v="1"/>
          </reference>
        </references>
      </pivotArea>
    </chartFormat>
    <chartFormat chart="17" format="9">
      <pivotArea type="data" outline="0" fieldPosition="0">
        <references count="3">
          <reference field="4294967294" count="1" selected="0">
            <x v="0"/>
          </reference>
          <reference field="2" count="1" selected="0">
            <x v="2"/>
          </reference>
          <reference field="10" count="1" selected="0">
            <x v="1"/>
          </reference>
        </references>
      </pivotArea>
    </chartFormat>
    <chartFormat chart="18" format="10" series="1">
      <pivotArea type="data" outline="0" fieldPosition="0">
        <references count="2">
          <reference field="4294967294" count="1" selected="0">
            <x v="0"/>
          </reference>
          <reference field="10" count="1" selected="0">
            <x v="0"/>
          </reference>
        </references>
      </pivotArea>
    </chartFormat>
    <chartFormat chart="18" format="11">
      <pivotArea type="data" outline="0" fieldPosition="0">
        <references count="3">
          <reference field="4294967294" count="1" selected="0">
            <x v="0"/>
          </reference>
          <reference field="2" count="1" selected="0">
            <x v="0"/>
          </reference>
          <reference field="10" count="1" selected="0">
            <x v="0"/>
          </reference>
        </references>
      </pivotArea>
    </chartFormat>
    <chartFormat chart="18" format="12">
      <pivotArea type="data" outline="0" fieldPosition="0">
        <references count="3">
          <reference field="4294967294" count="1" selected="0">
            <x v="0"/>
          </reference>
          <reference field="2" count="1" selected="0">
            <x v="1"/>
          </reference>
          <reference field="10" count="1" selected="0">
            <x v="0"/>
          </reference>
        </references>
      </pivotArea>
    </chartFormat>
    <chartFormat chart="18" format="13">
      <pivotArea type="data" outline="0" fieldPosition="0">
        <references count="3">
          <reference field="4294967294" count="1" selected="0">
            <x v="0"/>
          </reference>
          <reference field="2" count="1" selected="0">
            <x v="2"/>
          </reference>
          <reference field="10" count="1" selected="0">
            <x v="0"/>
          </reference>
        </references>
      </pivotArea>
    </chartFormat>
    <chartFormat chart="18" format="14" series="1">
      <pivotArea type="data" outline="0" fieldPosition="0">
        <references count="2">
          <reference field="4294967294" count="1" selected="0">
            <x v="0"/>
          </reference>
          <reference field="10" count="1" selected="0">
            <x v="1"/>
          </reference>
        </references>
      </pivotArea>
    </chartFormat>
    <chartFormat chart="18" format="15">
      <pivotArea type="data" outline="0" fieldPosition="0">
        <references count="3">
          <reference field="4294967294" count="1" selected="0">
            <x v="0"/>
          </reference>
          <reference field="2" count="1" selected="0">
            <x v="0"/>
          </reference>
          <reference field="10" count="1" selected="0">
            <x v="1"/>
          </reference>
        </references>
      </pivotArea>
    </chartFormat>
    <chartFormat chart="18" format="16">
      <pivotArea type="data" outline="0" fieldPosition="0">
        <references count="3">
          <reference field="4294967294" count="1" selected="0">
            <x v="0"/>
          </reference>
          <reference field="2" count="1" selected="0">
            <x v="1"/>
          </reference>
          <reference field="10" count="1" selected="0">
            <x v="1"/>
          </reference>
        </references>
      </pivotArea>
    </chartFormat>
    <chartFormat chart="18" format="17">
      <pivotArea type="data" outline="0" fieldPosition="0">
        <references count="3">
          <reference field="4294967294" count="1" selected="0">
            <x v="0"/>
          </reference>
          <reference field="2" count="1" selected="0">
            <x v="2"/>
          </reference>
          <reference field="10" count="1" selected="0">
            <x v="1"/>
          </reference>
        </references>
      </pivotArea>
    </chartFormat>
    <chartFormat chart="19" format="18" series="1">
      <pivotArea type="data" outline="0" fieldPosition="0">
        <references count="2">
          <reference field="4294967294" count="1" selected="0">
            <x v="0"/>
          </reference>
          <reference field="10" count="1" selected="0">
            <x v="0"/>
          </reference>
        </references>
      </pivotArea>
    </chartFormat>
    <chartFormat chart="19" format="19">
      <pivotArea type="data" outline="0" fieldPosition="0">
        <references count="3">
          <reference field="4294967294" count="1" selected="0">
            <x v="0"/>
          </reference>
          <reference field="2" count="1" selected="0">
            <x v="0"/>
          </reference>
          <reference field="10" count="1" selected="0">
            <x v="0"/>
          </reference>
        </references>
      </pivotArea>
    </chartFormat>
    <chartFormat chart="19" format="20">
      <pivotArea type="data" outline="0" fieldPosition="0">
        <references count="3">
          <reference field="4294967294" count="1" selected="0">
            <x v="0"/>
          </reference>
          <reference field="2" count="1" selected="0">
            <x v="1"/>
          </reference>
          <reference field="10" count="1" selected="0">
            <x v="0"/>
          </reference>
        </references>
      </pivotArea>
    </chartFormat>
    <chartFormat chart="19" format="21">
      <pivotArea type="data" outline="0" fieldPosition="0">
        <references count="3">
          <reference field="4294967294" count="1" selected="0">
            <x v="0"/>
          </reference>
          <reference field="2" count="1" selected="0">
            <x v="2"/>
          </reference>
          <reference field="10" count="1" selected="0">
            <x v="0"/>
          </reference>
        </references>
      </pivotArea>
    </chartFormat>
    <chartFormat chart="19" format="22" series="1">
      <pivotArea type="data" outline="0" fieldPosition="0">
        <references count="2">
          <reference field="4294967294" count="1" selected="0">
            <x v="0"/>
          </reference>
          <reference field="10" count="1" selected="0">
            <x v="1"/>
          </reference>
        </references>
      </pivotArea>
    </chartFormat>
    <chartFormat chart="19" format="23">
      <pivotArea type="data" outline="0" fieldPosition="0">
        <references count="3">
          <reference field="4294967294" count="1" selected="0">
            <x v="0"/>
          </reference>
          <reference field="2" count="1" selected="0">
            <x v="0"/>
          </reference>
          <reference field="10" count="1" selected="0">
            <x v="1"/>
          </reference>
        </references>
      </pivotArea>
    </chartFormat>
    <chartFormat chart="19" format="24">
      <pivotArea type="data" outline="0" fieldPosition="0">
        <references count="3">
          <reference field="4294967294" count="1" selected="0">
            <x v="0"/>
          </reference>
          <reference field="2" count="1" selected="0">
            <x v="1"/>
          </reference>
          <reference field="10" count="1" selected="0">
            <x v="1"/>
          </reference>
        </references>
      </pivotArea>
    </chartFormat>
    <chartFormat chart="19" format="25">
      <pivotArea type="data" outline="0" fieldPosition="0">
        <references count="3">
          <reference field="4294967294" count="1" selected="0">
            <x v="0"/>
          </reference>
          <reference field="2" count="1" selected="0">
            <x v="2"/>
          </reference>
          <reference field="10" count="1" selected="0">
            <x v="1"/>
          </reference>
        </references>
      </pivotArea>
    </chartFormat>
    <chartFormat chart="20" format="26" series="1">
      <pivotArea type="data" outline="0" fieldPosition="0">
        <references count="2">
          <reference field="4294967294" count="1" selected="0">
            <x v="0"/>
          </reference>
          <reference field="10" count="1" selected="0">
            <x v="0"/>
          </reference>
        </references>
      </pivotArea>
    </chartFormat>
    <chartFormat chart="20" format="27" series="1">
      <pivotArea type="data" outline="0" fieldPosition="0">
        <references count="2">
          <reference field="4294967294" count="1" selected="0">
            <x v="0"/>
          </reference>
          <reference field="10" count="1" selected="0">
            <x v="1"/>
          </reference>
        </references>
      </pivotArea>
    </chartFormat>
    <chartFormat chart="20" format="28">
      <pivotArea type="data" outline="0" fieldPosition="0">
        <references count="3">
          <reference field="4294967294" count="1" selected="0">
            <x v="0"/>
          </reference>
          <reference field="2" count="1" selected="0">
            <x v="0"/>
          </reference>
          <reference field="10" count="1" selected="0">
            <x v="0"/>
          </reference>
        </references>
      </pivotArea>
    </chartFormat>
    <chartFormat chart="20" format="29">
      <pivotArea type="data" outline="0" fieldPosition="0">
        <references count="3">
          <reference field="4294967294" count="1" selected="0">
            <x v="0"/>
          </reference>
          <reference field="2" count="1" selected="0">
            <x v="1"/>
          </reference>
          <reference field="10" count="1" selected="0">
            <x v="0"/>
          </reference>
        </references>
      </pivotArea>
    </chartFormat>
    <chartFormat chart="20" format="30">
      <pivotArea type="data" outline="0" fieldPosition="0">
        <references count="3">
          <reference field="4294967294" count="1" selected="0">
            <x v="0"/>
          </reference>
          <reference field="2" count="1" selected="0">
            <x v="2"/>
          </reference>
          <reference field="10" count="1" selected="0">
            <x v="0"/>
          </reference>
        </references>
      </pivotArea>
    </chartFormat>
    <chartFormat chart="20" format="31">
      <pivotArea type="data" outline="0" fieldPosition="0">
        <references count="3">
          <reference field="4294967294" count="1" selected="0">
            <x v="0"/>
          </reference>
          <reference field="2" count="1" selected="0">
            <x v="0"/>
          </reference>
          <reference field="10" count="1" selected="0">
            <x v="1"/>
          </reference>
        </references>
      </pivotArea>
    </chartFormat>
    <chartFormat chart="20" format="32">
      <pivotArea type="data" outline="0" fieldPosition="0">
        <references count="3">
          <reference field="4294967294" count="1" selected="0">
            <x v="0"/>
          </reference>
          <reference field="2" count="1" selected="0">
            <x v="1"/>
          </reference>
          <reference field="10" count="1" selected="0">
            <x v="1"/>
          </reference>
        </references>
      </pivotArea>
    </chartFormat>
    <chartFormat chart="20" format="33">
      <pivotArea type="data" outline="0" fieldPosition="0">
        <references count="3">
          <reference field="4294967294" count="1" selected="0">
            <x v="0"/>
          </reference>
          <reference field="2" count="1" selected="0">
            <x v="2"/>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2" name="PT08_Season"/>
    <pivotTable tabId="2" name="PivotTable1"/>
    <pivotTable tabId="2" name="PT01_Smoking_Habit"/>
    <pivotTable tabId="2" name="PT02_Alcohol_Consumption"/>
    <pivotTable tabId="2" name="PT03_High_Fevers"/>
    <pivotTable tabId="2" name="PT04_Childish_diseases"/>
    <pivotTable tabId="2" name="PT05_Surgical_intervention"/>
    <pivotTable tabId="2" name="PT06_Accident_or_Serious_Trauma"/>
    <pivotTable tabId="2" name="PT07_Age"/>
    <pivotTable tabId="2" name="PivotTable2"/>
  </pivotTables>
  <data>
    <tabular pivotCacheId="36359090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2" name="PT08_Season"/>
    <pivotTable tabId="2" name="PivotTable1"/>
    <pivotTable tabId="2" name="PT01_Smoking_Habit"/>
    <pivotTable tabId="2" name="PT02_Alcohol_Consumption"/>
    <pivotTable tabId="2" name="PT03_High_Fevers"/>
    <pivotTable tabId="2" name="PT04_Childish_diseases"/>
    <pivotTable tabId="2" name="PT05_Surgical_intervention"/>
    <pivotTable tabId="2" name="PT06_Accident_or_Serious_Trauma"/>
    <pivotTable tabId="2" name="PT07_Age"/>
    <pivotTable tabId="2" name="PivotTable2"/>
  </pivotTables>
  <data>
    <tabular pivotCacheId="36359090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Frequency_of_alcohol_consumption" sourceName="Frequency of alcohol consumption">
  <pivotTables>
    <pivotTable tabId="2" name="PT08_Season"/>
    <pivotTable tabId="2" name="PivotTable1"/>
    <pivotTable tabId="2" name="PT01_Smoking_Habit"/>
    <pivotTable tabId="2" name="PT02_Alcohol_Consumption"/>
    <pivotTable tabId="2" name="PT03_High_Fevers"/>
    <pivotTable tabId="2" name="PT04_Childish_diseases"/>
    <pivotTable tabId="2" name="PT05_Surgical_intervention"/>
    <pivotTable tabId="2" name="PT06_Accident_or_Serious_Trauma"/>
    <pivotTable tabId="2" name="PT07_Age"/>
    <pivotTable tabId="2" name="PivotTable2"/>
  </pivotTables>
  <data>
    <tabular pivotCacheId="363590902">
      <items count="5">
        <i x="4"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moking_habit" sourceName="Smoking habit">
  <pivotTables>
    <pivotTable tabId="2" name="PT08_Season"/>
    <pivotTable tabId="2" name="PivotTable1"/>
    <pivotTable tabId="2" name="PT01_Smoking_Habit"/>
    <pivotTable tabId="2" name="PT02_Alcohol_Consumption"/>
    <pivotTable tabId="2" name="PT03_High_Fevers"/>
    <pivotTable tabId="2" name="PT04_Childish_diseases"/>
    <pivotTable tabId="2" name="PT05_Surgical_intervention"/>
    <pivotTable tabId="2" name="PT06_Accident_or_Serious_Trauma"/>
    <pivotTable tabId="2" name="PT07_Age"/>
    <pivotTable tabId="2" name="PivotTable2"/>
  </pivotTables>
  <data>
    <tabular pivotCacheId="36359090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iagnosis" sourceName="Diagnosis">
  <pivotTables>
    <pivotTable tabId="2" name="PT08_Season"/>
    <pivotTable tabId="2" name="PivotTable1"/>
    <pivotTable tabId="2" name="PT01_Smoking_Habit"/>
    <pivotTable tabId="2" name="PT02_Alcohol_Consumption"/>
    <pivotTable tabId="2" name="PT03_High_Fevers"/>
    <pivotTable tabId="2" name="PT04_Childish_diseases"/>
    <pivotTable tabId="2" name="PT05_Surgical_intervention"/>
    <pivotTable tabId="2" name="PT06_Accident_or_Serious_Trauma"/>
    <pivotTable tabId="2" name="PT07_Age"/>
    <pivotTable tabId="2" name="PivotTable2"/>
  </pivotTables>
  <data>
    <tabular pivotCacheId="3635909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Season" lockedPosition="1" rowHeight="182880"/>
  <slicer name="Age group" cache="Slicer_Age_group" caption="Age group" lockedPosition="1" rowHeight="182880"/>
  <slicer name="Frequency of alcohol consumption" cache="Slicer_Frequency_of_alcohol_consumption" caption="Frequency of alcohol consumption" lockedPosition="1" rowHeight="182880"/>
  <slicer name="Smoking habit" cache="Slicer_Smoking_habit" caption="Smoking habit" lockedPosition="1" rowHeight="182880"/>
  <slicer name="Diagnosis" cache="Slicer_Diagnosis" caption="Diagnosis" lockedPosition="1" rowHeight="182880"/>
</slicers>
</file>

<file path=xl/tables/table1.xml><?xml version="1.0" encoding="utf-8"?>
<table xmlns="http://schemas.openxmlformats.org/spreadsheetml/2006/main" id="2" name="Sales_Data" displayName="Sales_Data" ref="A1:K101" totalsRowShown="0">
  <autoFilter ref="A1:K101"/>
  <tableColumns count="11">
    <tableColumn id="1" name="Season"/>
    <tableColumn id="2" name="Age"/>
    <tableColumn id="12" name="Age group" dataDxfId="0">
      <calculatedColumnFormula>IF(Sales_Data[[#This Row],[Age]]&lt;=21,"18-21",IF(Sales_Data[[#This Row],[Age]]&lt;=25,"22-25",IF(Sales_Data[[#This Row],[Age]]&lt;=29,"26-29",IF(Sales_Data[[#This Row],[Age]]&lt;=33,"30-33","34-36"))))</calculatedColumnFormula>
    </tableColumn>
    <tableColumn id="3" name="Childish diseases"/>
    <tableColumn id="4" name="Accident or serious trauma"/>
    <tableColumn id="5" name="Surgical intervention"/>
    <tableColumn id="6" name="High fevers in the last year"/>
    <tableColumn id="7" name="Frequency of alcohol consumption"/>
    <tableColumn id="8" name="Smoking habit"/>
    <tableColumn id="9" name="Number of hours spent sitting per day"/>
    <tableColumn id="10" name="Diagnosis"/>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C3" sqref="C3"/>
    </sheetView>
  </sheetViews>
  <sheetFormatPr defaultRowHeight="14.4" x14ac:dyDescent="0.3"/>
  <cols>
    <col min="1" max="1" width="9.6640625" bestFit="1" customWidth="1"/>
    <col min="2" max="2" width="6.88671875" bestFit="1" customWidth="1"/>
    <col min="3" max="3" width="18.5546875" bestFit="1" customWidth="1"/>
    <col min="4" max="4" width="28" bestFit="1" customWidth="1"/>
    <col min="5" max="5" width="22.33203125" bestFit="1" customWidth="1"/>
    <col min="6" max="6" width="27.5546875" bestFit="1" customWidth="1"/>
    <col min="7" max="7" width="34.33203125" bestFit="1" customWidth="1"/>
    <col min="8" max="8" width="16.33203125" bestFit="1" customWidth="1"/>
    <col min="9" max="9" width="37.44140625" bestFit="1" customWidth="1"/>
    <col min="10" max="10" width="11.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v>30</v>
      </c>
      <c r="C2" t="str">
        <f>IF(Sales_Data[[#This Row],[Age]]&lt;=21,"18-21",IF(Sales_Data[[#This Row],[Age]]&lt;=25,"22-25",IF(Sales_Data[[#This Row],[Age]]&lt;=29,"26-29",IF(Sales_Data[[#This Row],[Age]]&lt;=33,"30-33","34-36"))))</f>
        <v>30-33</v>
      </c>
      <c r="D2" t="s">
        <v>12</v>
      </c>
      <c r="E2" t="s">
        <v>13</v>
      </c>
      <c r="F2" t="s">
        <v>13</v>
      </c>
      <c r="G2" t="s">
        <v>14</v>
      </c>
      <c r="H2" t="s">
        <v>15</v>
      </c>
      <c r="I2" t="s">
        <v>16</v>
      </c>
      <c r="J2">
        <v>16</v>
      </c>
      <c r="K2" t="s">
        <v>17</v>
      </c>
    </row>
    <row r="3" spans="1:11" x14ac:dyDescent="0.3">
      <c r="A3" t="s">
        <v>11</v>
      </c>
      <c r="B3">
        <v>35</v>
      </c>
      <c r="C3" t="str">
        <f>IF(Sales_Data[[#This Row],[Age]]&lt;=21,"18-21",IF(Sales_Data[[#This Row],[Age]]&lt;=25,"22-25",IF(Sales_Data[[#This Row],[Age]]&lt;=29,"26-29",IF(Sales_Data[[#This Row],[Age]]&lt;=33,"30-33","34-36"))))</f>
        <v>34-36</v>
      </c>
      <c r="D3" t="s">
        <v>13</v>
      </c>
      <c r="E3" t="s">
        <v>12</v>
      </c>
      <c r="F3" t="s">
        <v>13</v>
      </c>
      <c r="G3" t="s">
        <v>14</v>
      </c>
      <c r="H3" t="s">
        <v>15</v>
      </c>
      <c r="I3" t="s">
        <v>18</v>
      </c>
      <c r="J3">
        <v>6</v>
      </c>
      <c r="K3" t="s">
        <v>19</v>
      </c>
    </row>
    <row r="4" spans="1:11" x14ac:dyDescent="0.3">
      <c r="A4" t="s">
        <v>11</v>
      </c>
      <c r="B4">
        <v>27</v>
      </c>
      <c r="C4" t="str">
        <f>IF(Sales_Data[[#This Row],[Age]]&lt;=21,"18-21",IF(Sales_Data[[#This Row],[Age]]&lt;=25,"22-25",IF(Sales_Data[[#This Row],[Age]]&lt;=29,"26-29",IF(Sales_Data[[#This Row],[Age]]&lt;=33,"30-33","34-36"))))</f>
        <v>26-29</v>
      </c>
      <c r="D4" t="s">
        <v>13</v>
      </c>
      <c r="E4" t="s">
        <v>12</v>
      </c>
      <c r="F4" t="s">
        <v>12</v>
      </c>
      <c r="G4" t="s">
        <v>14</v>
      </c>
      <c r="H4" t="s">
        <v>20</v>
      </c>
      <c r="I4" t="s">
        <v>21</v>
      </c>
      <c r="J4">
        <v>9</v>
      </c>
      <c r="K4" t="s">
        <v>17</v>
      </c>
    </row>
    <row r="5" spans="1:11" x14ac:dyDescent="0.3">
      <c r="A5" t="s">
        <v>11</v>
      </c>
      <c r="B5">
        <v>32</v>
      </c>
      <c r="C5" t="str">
        <f>IF(Sales_Data[[#This Row],[Age]]&lt;=21,"18-21",IF(Sales_Data[[#This Row],[Age]]&lt;=25,"22-25",IF(Sales_Data[[#This Row],[Age]]&lt;=29,"26-29",IF(Sales_Data[[#This Row],[Age]]&lt;=33,"30-33","34-36"))))</f>
        <v>30-33</v>
      </c>
      <c r="D5" t="s">
        <v>12</v>
      </c>
      <c r="E5" t="s">
        <v>13</v>
      </c>
      <c r="F5" t="s">
        <v>13</v>
      </c>
      <c r="G5" t="s">
        <v>14</v>
      </c>
      <c r="H5" t="s">
        <v>20</v>
      </c>
      <c r="I5" t="s">
        <v>21</v>
      </c>
      <c r="J5">
        <v>7</v>
      </c>
      <c r="K5" t="s">
        <v>17</v>
      </c>
    </row>
    <row r="6" spans="1:11" x14ac:dyDescent="0.3">
      <c r="A6" t="s">
        <v>11</v>
      </c>
      <c r="B6">
        <v>30</v>
      </c>
      <c r="C6" t="str">
        <f>IF(Sales_Data[[#This Row],[Age]]&lt;=21,"18-21",IF(Sales_Data[[#This Row],[Age]]&lt;=25,"22-25",IF(Sales_Data[[#This Row],[Age]]&lt;=29,"26-29",IF(Sales_Data[[#This Row],[Age]]&lt;=33,"30-33","34-36"))))</f>
        <v>30-33</v>
      </c>
      <c r="D6" t="s">
        <v>13</v>
      </c>
      <c r="E6" t="s">
        <v>13</v>
      </c>
      <c r="F6" t="s">
        <v>12</v>
      </c>
      <c r="G6" t="s">
        <v>14</v>
      </c>
      <c r="H6" t="s">
        <v>15</v>
      </c>
      <c r="I6" t="s">
        <v>21</v>
      </c>
      <c r="J6">
        <v>9</v>
      </c>
      <c r="K6" t="s">
        <v>19</v>
      </c>
    </row>
    <row r="7" spans="1:11" x14ac:dyDescent="0.3">
      <c r="A7" t="s">
        <v>11</v>
      </c>
      <c r="B7">
        <v>30</v>
      </c>
      <c r="C7" t="str">
        <f>IF(Sales_Data[[#This Row],[Age]]&lt;=21,"18-21",IF(Sales_Data[[#This Row],[Age]]&lt;=25,"22-25",IF(Sales_Data[[#This Row],[Age]]&lt;=29,"26-29",IF(Sales_Data[[#This Row],[Age]]&lt;=33,"30-33","34-36"))))</f>
        <v>30-33</v>
      </c>
      <c r="D7" t="s">
        <v>13</v>
      </c>
      <c r="E7" t="s">
        <v>12</v>
      </c>
      <c r="F7" t="s">
        <v>13</v>
      </c>
      <c r="G7" t="s">
        <v>14</v>
      </c>
      <c r="H7" t="s">
        <v>15</v>
      </c>
      <c r="I7" t="s">
        <v>16</v>
      </c>
      <c r="J7">
        <v>9</v>
      </c>
      <c r="K7" t="s">
        <v>17</v>
      </c>
    </row>
    <row r="8" spans="1:11" x14ac:dyDescent="0.3">
      <c r="A8" t="s">
        <v>11</v>
      </c>
      <c r="B8">
        <v>30</v>
      </c>
      <c r="C8" t="str">
        <f>IF(Sales_Data[[#This Row],[Age]]&lt;=21,"18-21",IF(Sales_Data[[#This Row],[Age]]&lt;=25,"22-25",IF(Sales_Data[[#This Row],[Age]]&lt;=29,"26-29",IF(Sales_Data[[#This Row],[Age]]&lt;=33,"30-33","34-36"))))</f>
        <v>30-33</v>
      </c>
      <c r="D8" t="s">
        <v>12</v>
      </c>
      <c r="E8" t="s">
        <v>12</v>
      </c>
      <c r="F8" t="s">
        <v>12</v>
      </c>
      <c r="G8" t="s">
        <v>22</v>
      </c>
      <c r="H8" t="s">
        <v>15</v>
      </c>
      <c r="I8" t="s">
        <v>21</v>
      </c>
      <c r="J8">
        <v>8</v>
      </c>
      <c r="K8" t="s">
        <v>17</v>
      </c>
    </row>
    <row r="9" spans="1:11" x14ac:dyDescent="0.3">
      <c r="A9" t="s">
        <v>11</v>
      </c>
      <c r="B9">
        <v>36</v>
      </c>
      <c r="C9" t="str">
        <f>IF(Sales_Data[[#This Row],[Age]]&lt;=21,"18-21",IF(Sales_Data[[#This Row],[Age]]&lt;=25,"22-25",IF(Sales_Data[[#This Row],[Age]]&lt;=29,"26-29",IF(Sales_Data[[#This Row],[Age]]&lt;=33,"30-33","34-36"))))</f>
        <v>34-36</v>
      </c>
      <c r="D9" t="s">
        <v>13</v>
      </c>
      <c r="E9" t="s">
        <v>13</v>
      </c>
      <c r="F9" t="s">
        <v>13</v>
      </c>
      <c r="G9" t="s">
        <v>14</v>
      </c>
      <c r="H9" t="s">
        <v>23</v>
      </c>
      <c r="I9" t="s">
        <v>21</v>
      </c>
      <c r="J9">
        <v>7</v>
      </c>
      <c r="K9" t="s">
        <v>17</v>
      </c>
    </row>
    <row r="10" spans="1:11" x14ac:dyDescent="0.3">
      <c r="A10" t="s">
        <v>24</v>
      </c>
      <c r="B10">
        <v>30</v>
      </c>
      <c r="C10" t="str">
        <f>IF(Sales_Data[[#This Row],[Age]]&lt;=21,"18-21",IF(Sales_Data[[#This Row],[Age]]&lt;=25,"22-25",IF(Sales_Data[[#This Row],[Age]]&lt;=29,"26-29",IF(Sales_Data[[#This Row],[Age]]&lt;=33,"30-33","34-36"))))</f>
        <v>30-33</v>
      </c>
      <c r="D10" t="s">
        <v>12</v>
      </c>
      <c r="E10" t="s">
        <v>12</v>
      </c>
      <c r="F10" t="s">
        <v>13</v>
      </c>
      <c r="G10" t="s">
        <v>14</v>
      </c>
      <c r="H10" t="s">
        <v>15</v>
      </c>
      <c r="I10" t="s">
        <v>21</v>
      </c>
      <c r="J10">
        <v>5</v>
      </c>
      <c r="K10" t="s">
        <v>17</v>
      </c>
    </row>
    <row r="11" spans="1:11" x14ac:dyDescent="0.3">
      <c r="A11" t="s">
        <v>24</v>
      </c>
      <c r="B11">
        <v>29</v>
      </c>
      <c r="C11" t="str">
        <f>IF(Sales_Data[[#This Row],[Age]]&lt;=21,"18-21",IF(Sales_Data[[#This Row],[Age]]&lt;=25,"22-25",IF(Sales_Data[[#This Row],[Age]]&lt;=29,"26-29",IF(Sales_Data[[#This Row],[Age]]&lt;=33,"30-33","34-36"))))</f>
        <v>26-29</v>
      </c>
      <c r="D11" t="s">
        <v>13</v>
      </c>
      <c r="E11" t="s">
        <v>12</v>
      </c>
      <c r="F11" t="s">
        <v>12</v>
      </c>
      <c r="G11" t="s">
        <v>14</v>
      </c>
      <c r="H11" t="s">
        <v>20</v>
      </c>
      <c r="I11" t="s">
        <v>21</v>
      </c>
      <c r="J11">
        <v>5</v>
      </c>
      <c r="K11" t="s">
        <v>17</v>
      </c>
    </row>
    <row r="12" spans="1:11" x14ac:dyDescent="0.3">
      <c r="A12" t="s">
        <v>24</v>
      </c>
      <c r="B12">
        <v>30</v>
      </c>
      <c r="C12" t="str">
        <f>IF(Sales_Data[[#This Row],[Age]]&lt;=21,"18-21",IF(Sales_Data[[#This Row],[Age]]&lt;=25,"22-25",IF(Sales_Data[[#This Row],[Age]]&lt;=29,"26-29",IF(Sales_Data[[#This Row],[Age]]&lt;=33,"30-33","34-36"))))</f>
        <v>30-33</v>
      </c>
      <c r="D12" t="s">
        <v>13</v>
      </c>
      <c r="E12" t="s">
        <v>13</v>
      </c>
      <c r="F12" t="s">
        <v>12</v>
      </c>
      <c r="G12" t="s">
        <v>22</v>
      </c>
      <c r="H12" t="s">
        <v>15</v>
      </c>
      <c r="I12" t="s">
        <v>16</v>
      </c>
      <c r="J12">
        <v>6</v>
      </c>
      <c r="K12" t="s">
        <v>17</v>
      </c>
    </row>
    <row r="13" spans="1:11" x14ac:dyDescent="0.3">
      <c r="A13" t="s">
        <v>24</v>
      </c>
      <c r="B13">
        <v>32</v>
      </c>
      <c r="C13" t="str">
        <f>IF(Sales_Data[[#This Row],[Age]]&lt;=21,"18-21",IF(Sales_Data[[#This Row],[Age]]&lt;=25,"22-25",IF(Sales_Data[[#This Row],[Age]]&lt;=29,"26-29",IF(Sales_Data[[#This Row],[Age]]&lt;=33,"30-33","34-36"))))</f>
        <v>30-33</v>
      </c>
      <c r="D13" t="s">
        <v>13</v>
      </c>
      <c r="E13" t="s">
        <v>13</v>
      </c>
      <c r="F13" t="s">
        <v>13</v>
      </c>
      <c r="G13" t="s">
        <v>14</v>
      </c>
      <c r="H13" t="s">
        <v>23</v>
      </c>
      <c r="I13" t="s">
        <v>16</v>
      </c>
      <c r="J13">
        <v>2</v>
      </c>
      <c r="K13" t="s">
        <v>17</v>
      </c>
    </row>
    <row r="14" spans="1:11" x14ac:dyDescent="0.3">
      <c r="A14" t="s">
        <v>24</v>
      </c>
      <c r="B14">
        <v>32</v>
      </c>
      <c r="C14" t="str">
        <f>IF(Sales_Data[[#This Row],[Age]]&lt;=21,"18-21",IF(Sales_Data[[#This Row],[Age]]&lt;=25,"22-25",IF(Sales_Data[[#This Row],[Age]]&lt;=29,"26-29",IF(Sales_Data[[#This Row],[Age]]&lt;=33,"30-33","34-36"))))</f>
        <v>30-33</v>
      </c>
      <c r="D14" t="s">
        <v>13</v>
      </c>
      <c r="E14" t="s">
        <v>13</v>
      </c>
      <c r="F14" t="s">
        <v>13</v>
      </c>
      <c r="G14" t="s">
        <v>14</v>
      </c>
      <c r="H14" t="s">
        <v>15</v>
      </c>
      <c r="I14" t="s">
        <v>18</v>
      </c>
      <c r="J14">
        <v>5</v>
      </c>
      <c r="K14" t="s">
        <v>17</v>
      </c>
    </row>
    <row r="15" spans="1:11" x14ac:dyDescent="0.3">
      <c r="A15" t="s">
        <v>24</v>
      </c>
      <c r="B15">
        <v>33</v>
      </c>
      <c r="C15" t="str">
        <f>IF(Sales_Data[[#This Row],[Age]]&lt;=21,"18-21",IF(Sales_Data[[#This Row],[Age]]&lt;=25,"22-25",IF(Sales_Data[[#This Row],[Age]]&lt;=29,"26-29",IF(Sales_Data[[#This Row],[Age]]&lt;=33,"30-33","34-36"))))</f>
        <v>30-33</v>
      </c>
      <c r="D15" t="s">
        <v>13</v>
      </c>
      <c r="E15" t="s">
        <v>12</v>
      </c>
      <c r="F15" t="s">
        <v>12</v>
      </c>
      <c r="G15" t="s">
        <v>14</v>
      </c>
      <c r="H15" t="s">
        <v>20</v>
      </c>
      <c r="I15" t="s">
        <v>21</v>
      </c>
      <c r="J15">
        <v>7</v>
      </c>
      <c r="K15" t="s">
        <v>17</v>
      </c>
    </row>
    <row r="16" spans="1:11" x14ac:dyDescent="0.3">
      <c r="A16" t="s">
        <v>24</v>
      </c>
      <c r="B16">
        <v>35</v>
      </c>
      <c r="C16" t="str">
        <f>IF(Sales_Data[[#This Row],[Age]]&lt;=21,"18-21",IF(Sales_Data[[#This Row],[Age]]&lt;=25,"22-25",IF(Sales_Data[[#This Row],[Age]]&lt;=29,"26-29",IF(Sales_Data[[#This Row],[Age]]&lt;=33,"30-33","34-36"))))</f>
        <v>34-36</v>
      </c>
      <c r="D16" t="s">
        <v>13</v>
      </c>
      <c r="E16" t="s">
        <v>13</v>
      </c>
      <c r="F16" t="s">
        <v>13</v>
      </c>
      <c r="G16" t="s">
        <v>14</v>
      </c>
      <c r="H16" t="s">
        <v>25</v>
      </c>
      <c r="I16" t="s">
        <v>21</v>
      </c>
      <c r="J16">
        <v>5</v>
      </c>
      <c r="K16" t="s">
        <v>17</v>
      </c>
    </row>
    <row r="17" spans="1:11" x14ac:dyDescent="0.3">
      <c r="A17" t="s">
        <v>24</v>
      </c>
      <c r="B17">
        <v>33</v>
      </c>
      <c r="C17" t="str">
        <f>IF(Sales_Data[[#This Row],[Age]]&lt;=21,"18-21",IF(Sales_Data[[#This Row],[Age]]&lt;=25,"22-25",IF(Sales_Data[[#This Row],[Age]]&lt;=29,"26-29",IF(Sales_Data[[#This Row],[Age]]&lt;=33,"30-33","34-36"))))</f>
        <v>30-33</v>
      </c>
      <c r="D17" t="s">
        <v>13</v>
      </c>
      <c r="E17" t="s">
        <v>13</v>
      </c>
      <c r="F17" t="s">
        <v>12</v>
      </c>
      <c r="G17" t="s">
        <v>14</v>
      </c>
      <c r="H17" t="s">
        <v>20</v>
      </c>
      <c r="I17" t="s">
        <v>18</v>
      </c>
      <c r="J17">
        <v>9</v>
      </c>
      <c r="K17" t="s">
        <v>17</v>
      </c>
    </row>
    <row r="18" spans="1:11" x14ac:dyDescent="0.3">
      <c r="A18" t="s">
        <v>24</v>
      </c>
      <c r="B18">
        <v>30</v>
      </c>
      <c r="C18" t="str">
        <f>IF(Sales_Data[[#This Row],[Age]]&lt;=21,"18-21",IF(Sales_Data[[#This Row],[Age]]&lt;=25,"22-25",IF(Sales_Data[[#This Row],[Age]]&lt;=29,"26-29",IF(Sales_Data[[#This Row],[Age]]&lt;=33,"30-33","34-36"))))</f>
        <v>30-33</v>
      </c>
      <c r="D18" t="s">
        <v>13</v>
      </c>
      <c r="E18" t="s">
        <v>12</v>
      </c>
      <c r="F18" t="s">
        <v>13</v>
      </c>
      <c r="G18" t="s">
        <v>14</v>
      </c>
      <c r="H18" t="s">
        <v>20</v>
      </c>
      <c r="I18" t="s">
        <v>21</v>
      </c>
      <c r="J18">
        <v>7</v>
      </c>
      <c r="K18" t="s">
        <v>17</v>
      </c>
    </row>
    <row r="19" spans="1:11" x14ac:dyDescent="0.3">
      <c r="A19" t="s">
        <v>24</v>
      </c>
      <c r="B19">
        <v>30</v>
      </c>
      <c r="C19" t="str">
        <f>IF(Sales_Data[[#This Row],[Age]]&lt;=21,"18-21",IF(Sales_Data[[#This Row],[Age]]&lt;=25,"22-25",IF(Sales_Data[[#This Row],[Age]]&lt;=29,"26-29",IF(Sales_Data[[#This Row],[Age]]&lt;=33,"30-33","34-36"))))</f>
        <v>30-33</v>
      </c>
      <c r="D19" t="s">
        <v>13</v>
      </c>
      <c r="E19" t="s">
        <v>12</v>
      </c>
      <c r="F19" t="s">
        <v>13</v>
      </c>
      <c r="G19" t="s">
        <v>14</v>
      </c>
      <c r="H19" t="s">
        <v>15</v>
      </c>
      <c r="I19" t="s">
        <v>21</v>
      </c>
      <c r="J19">
        <v>5</v>
      </c>
      <c r="K19" t="s">
        <v>19</v>
      </c>
    </row>
    <row r="20" spans="1:11" x14ac:dyDescent="0.3">
      <c r="A20" t="s">
        <v>24</v>
      </c>
      <c r="B20">
        <v>32</v>
      </c>
      <c r="C20" t="str">
        <f>IF(Sales_Data[[#This Row],[Age]]&lt;=21,"18-21",IF(Sales_Data[[#This Row],[Age]]&lt;=25,"22-25",IF(Sales_Data[[#This Row],[Age]]&lt;=29,"26-29",IF(Sales_Data[[#This Row],[Age]]&lt;=33,"30-33","34-36"))))</f>
        <v>30-33</v>
      </c>
      <c r="D20" t="s">
        <v>13</v>
      </c>
      <c r="E20" t="s">
        <v>13</v>
      </c>
      <c r="F20" t="s">
        <v>13</v>
      </c>
      <c r="G20" t="s">
        <v>14</v>
      </c>
      <c r="H20" t="s">
        <v>20</v>
      </c>
      <c r="I20" t="s">
        <v>18</v>
      </c>
      <c r="J20">
        <v>5</v>
      </c>
      <c r="K20" t="s">
        <v>17</v>
      </c>
    </row>
    <row r="21" spans="1:11" x14ac:dyDescent="0.3">
      <c r="A21" t="s">
        <v>24</v>
      </c>
      <c r="B21">
        <v>30</v>
      </c>
      <c r="C21" t="str">
        <f>IF(Sales_Data[[#This Row],[Age]]&lt;=21,"18-21",IF(Sales_Data[[#This Row],[Age]]&lt;=25,"22-25",IF(Sales_Data[[#This Row],[Age]]&lt;=29,"26-29",IF(Sales_Data[[#This Row],[Age]]&lt;=33,"30-33","34-36"))))</f>
        <v>30-33</v>
      </c>
      <c r="D21" t="s">
        <v>13</v>
      </c>
      <c r="E21" t="s">
        <v>12</v>
      </c>
      <c r="F21" t="s">
        <v>12</v>
      </c>
      <c r="G21" t="s">
        <v>14</v>
      </c>
      <c r="H21" t="s">
        <v>15</v>
      </c>
      <c r="I21" t="s">
        <v>18</v>
      </c>
      <c r="J21">
        <v>7</v>
      </c>
      <c r="K21" t="s">
        <v>19</v>
      </c>
    </row>
    <row r="22" spans="1:11" x14ac:dyDescent="0.3">
      <c r="A22" t="s">
        <v>24</v>
      </c>
      <c r="B22">
        <v>30</v>
      </c>
      <c r="C22" t="str">
        <f>IF(Sales_Data[[#This Row],[Age]]&lt;=21,"18-21",IF(Sales_Data[[#This Row],[Age]]&lt;=25,"22-25",IF(Sales_Data[[#This Row],[Age]]&lt;=29,"26-29",IF(Sales_Data[[#This Row],[Age]]&lt;=33,"30-33","34-36"))))</f>
        <v>30-33</v>
      </c>
      <c r="D22" t="s">
        <v>12</v>
      </c>
      <c r="E22" t="s">
        <v>12</v>
      </c>
      <c r="F22" t="s">
        <v>13</v>
      </c>
      <c r="G22" t="s">
        <v>14</v>
      </c>
      <c r="H22" t="s">
        <v>15</v>
      </c>
      <c r="I22" t="s">
        <v>21</v>
      </c>
      <c r="J22">
        <v>5</v>
      </c>
      <c r="K22" t="s">
        <v>17</v>
      </c>
    </row>
    <row r="23" spans="1:11" x14ac:dyDescent="0.3">
      <c r="A23" t="s">
        <v>24</v>
      </c>
      <c r="B23">
        <v>32</v>
      </c>
      <c r="C23" t="str">
        <f>IF(Sales_Data[[#This Row],[Age]]&lt;=21,"18-21",IF(Sales_Data[[#This Row],[Age]]&lt;=25,"22-25",IF(Sales_Data[[#This Row],[Age]]&lt;=29,"26-29",IF(Sales_Data[[#This Row],[Age]]&lt;=33,"30-33","34-36"))))</f>
        <v>30-33</v>
      </c>
      <c r="D23" t="s">
        <v>13</v>
      </c>
      <c r="E23" t="s">
        <v>12</v>
      </c>
      <c r="F23" t="s">
        <v>12</v>
      </c>
      <c r="G23" t="s">
        <v>14</v>
      </c>
      <c r="H23" t="s">
        <v>23</v>
      </c>
      <c r="I23" t="s">
        <v>16</v>
      </c>
      <c r="J23">
        <v>5</v>
      </c>
      <c r="K23" t="s">
        <v>17</v>
      </c>
    </row>
    <row r="24" spans="1:11" x14ac:dyDescent="0.3">
      <c r="A24" t="s">
        <v>24</v>
      </c>
      <c r="B24">
        <v>30</v>
      </c>
      <c r="C24" t="str">
        <f>IF(Sales_Data[[#This Row],[Age]]&lt;=21,"18-21",IF(Sales_Data[[#This Row],[Age]]&lt;=25,"22-25",IF(Sales_Data[[#This Row],[Age]]&lt;=29,"26-29",IF(Sales_Data[[#This Row],[Age]]&lt;=33,"30-33","34-36"))))</f>
        <v>30-33</v>
      </c>
      <c r="D24" t="s">
        <v>13</v>
      </c>
      <c r="E24" t="s">
        <v>13</v>
      </c>
      <c r="F24" t="s">
        <v>12</v>
      </c>
      <c r="G24" t="s">
        <v>14</v>
      </c>
      <c r="H24" t="s">
        <v>15</v>
      </c>
      <c r="I24" t="s">
        <v>21</v>
      </c>
      <c r="J24">
        <v>5</v>
      </c>
      <c r="K24" t="s">
        <v>17</v>
      </c>
    </row>
    <row r="25" spans="1:11" x14ac:dyDescent="0.3">
      <c r="A25" t="s">
        <v>24</v>
      </c>
      <c r="B25">
        <v>30</v>
      </c>
      <c r="C25" t="str">
        <f>IF(Sales_Data[[#This Row],[Age]]&lt;=21,"18-21",IF(Sales_Data[[#This Row],[Age]]&lt;=25,"22-25",IF(Sales_Data[[#This Row],[Age]]&lt;=29,"26-29",IF(Sales_Data[[#This Row],[Age]]&lt;=33,"30-33","34-36"))))</f>
        <v>30-33</v>
      </c>
      <c r="D25" t="s">
        <v>13</v>
      </c>
      <c r="E25" t="s">
        <v>12</v>
      </c>
      <c r="F25" t="s">
        <v>13</v>
      </c>
      <c r="G25" t="s">
        <v>22</v>
      </c>
      <c r="H25" t="s">
        <v>20</v>
      </c>
      <c r="I25" t="s">
        <v>21</v>
      </c>
      <c r="J25">
        <v>8</v>
      </c>
      <c r="K25" t="s">
        <v>19</v>
      </c>
    </row>
    <row r="26" spans="1:11" x14ac:dyDescent="0.3">
      <c r="A26" t="s">
        <v>24</v>
      </c>
      <c r="B26">
        <v>28</v>
      </c>
      <c r="C26" t="str">
        <f>IF(Sales_Data[[#This Row],[Age]]&lt;=21,"18-21",IF(Sales_Data[[#This Row],[Age]]&lt;=25,"22-25",IF(Sales_Data[[#This Row],[Age]]&lt;=29,"26-29",IF(Sales_Data[[#This Row],[Age]]&lt;=33,"30-33","34-36"))))</f>
        <v>26-29</v>
      </c>
      <c r="D26" t="s">
        <v>13</v>
      </c>
      <c r="E26" t="s">
        <v>12</v>
      </c>
      <c r="F26" t="s">
        <v>13</v>
      </c>
      <c r="G26" t="s">
        <v>14</v>
      </c>
      <c r="H26" t="s">
        <v>20</v>
      </c>
      <c r="I26" t="s">
        <v>21</v>
      </c>
      <c r="J26">
        <v>11</v>
      </c>
      <c r="K26" t="s">
        <v>17</v>
      </c>
    </row>
    <row r="27" spans="1:11" x14ac:dyDescent="0.3">
      <c r="A27" t="s">
        <v>24</v>
      </c>
      <c r="B27">
        <v>30</v>
      </c>
      <c r="C27" t="str">
        <f>IF(Sales_Data[[#This Row],[Age]]&lt;=21,"18-21",IF(Sales_Data[[#This Row],[Age]]&lt;=25,"22-25",IF(Sales_Data[[#This Row],[Age]]&lt;=29,"26-29",IF(Sales_Data[[#This Row],[Age]]&lt;=33,"30-33","34-36"))))</f>
        <v>30-33</v>
      </c>
      <c r="D27" t="s">
        <v>13</v>
      </c>
      <c r="E27" t="s">
        <v>12</v>
      </c>
      <c r="F27" t="s">
        <v>12</v>
      </c>
      <c r="G27" t="s">
        <v>14</v>
      </c>
      <c r="H27" t="s">
        <v>20</v>
      </c>
      <c r="I27" t="s">
        <v>21</v>
      </c>
      <c r="J27">
        <v>5</v>
      </c>
      <c r="K27" t="s">
        <v>17</v>
      </c>
    </row>
    <row r="28" spans="1:11" x14ac:dyDescent="0.3">
      <c r="A28" t="s">
        <v>24</v>
      </c>
      <c r="B28">
        <v>30</v>
      </c>
      <c r="C28" t="str">
        <f>IF(Sales_Data[[#This Row],[Age]]&lt;=21,"18-21",IF(Sales_Data[[#This Row],[Age]]&lt;=25,"22-25",IF(Sales_Data[[#This Row],[Age]]&lt;=29,"26-29",IF(Sales_Data[[#This Row],[Age]]&lt;=33,"30-33","34-36"))))</f>
        <v>30-33</v>
      </c>
      <c r="D28" t="s">
        <v>13</v>
      </c>
      <c r="E28" t="s">
        <v>12</v>
      </c>
      <c r="F28" t="s">
        <v>13</v>
      </c>
      <c r="G28" t="s">
        <v>14</v>
      </c>
      <c r="H28" t="s">
        <v>23</v>
      </c>
      <c r="I28" t="s">
        <v>21</v>
      </c>
      <c r="J28">
        <v>7</v>
      </c>
      <c r="K28" t="s">
        <v>19</v>
      </c>
    </row>
    <row r="29" spans="1:11" x14ac:dyDescent="0.3">
      <c r="A29" t="s">
        <v>24</v>
      </c>
      <c r="B29">
        <v>32</v>
      </c>
      <c r="C29" t="str">
        <f>IF(Sales_Data[[#This Row],[Age]]&lt;=21,"18-21",IF(Sales_Data[[#This Row],[Age]]&lt;=25,"22-25",IF(Sales_Data[[#This Row],[Age]]&lt;=29,"26-29",IF(Sales_Data[[#This Row],[Age]]&lt;=33,"30-33","34-36"))))</f>
        <v>30-33</v>
      </c>
      <c r="D29" t="s">
        <v>13</v>
      </c>
      <c r="E29" t="s">
        <v>13</v>
      </c>
      <c r="F29" t="s">
        <v>12</v>
      </c>
      <c r="G29" t="s">
        <v>12</v>
      </c>
      <c r="H29" t="s">
        <v>23</v>
      </c>
      <c r="I29" t="s">
        <v>21</v>
      </c>
      <c r="J29">
        <v>7</v>
      </c>
      <c r="K29" t="s">
        <v>19</v>
      </c>
    </row>
    <row r="30" spans="1:11" x14ac:dyDescent="0.3">
      <c r="A30" t="s">
        <v>24</v>
      </c>
      <c r="B30">
        <v>28</v>
      </c>
      <c r="C30" t="str">
        <f>IF(Sales_Data[[#This Row],[Age]]&lt;=21,"18-21",IF(Sales_Data[[#This Row],[Age]]&lt;=25,"22-25",IF(Sales_Data[[#This Row],[Age]]&lt;=29,"26-29",IF(Sales_Data[[#This Row],[Age]]&lt;=33,"30-33","34-36"))))</f>
        <v>26-29</v>
      </c>
      <c r="D30" t="s">
        <v>12</v>
      </c>
      <c r="E30" t="s">
        <v>12</v>
      </c>
      <c r="F30" t="s">
        <v>13</v>
      </c>
      <c r="G30" t="s">
        <v>14</v>
      </c>
      <c r="H30" t="s">
        <v>20</v>
      </c>
      <c r="I30" t="s">
        <v>21</v>
      </c>
      <c r="J30">
        <v>3</v>
      </c>
      <c r="K30" t="s">
        <v>17</v>
      </c>
    </row>
    <row r="31" spans="1:11" x14ac:dyDescent="0.3">
      <c r="A31" t="s">
        <v>24</v>
      </c>
      <c r="B31">
        <v>30</v>
      </c>
      <c r="C31" t="str">
        <f>IF(Sales_Data[[#This Row],[Age]]&lt;=21,"18-21",IF(Sales_Data[[#This Row],[Age]]&lt;=25,"22-25",IF(Sales_Data[[#This Row],[Age]]&lt;=29,"26-29",IF(Sales_Data[[#This Row],[Age]]&lt;=33,"30-33","34-36"))))</f>
        <v>30-33</v>
      </c>
      <c r="D31" t="s">
        <v>12</v>
      </c>
      <c r="E31" t="s">
        <v>12</v>
      </c>
      <c r="F31" t="s">
        <v>13</v>
      </c>
      <c r="G31" t="s">
        <v>14</v>
      </c>
      <c r="H31" t="s">
        <v>23</v>
      </c>
      <c r="I31" t="s">
        <v>16</v>
      </c>
      <c r="J31">
        <v>9</v>
      </c>
      <c r="K31" t="s">
        <v>19</v>
      </c>
    </row>
    <row r="32" spans="1:11" x14ac:dyDescent="0.3">
      <c r="A32" t="s">
        <v>24</v>
      </c>
      <c r="B32">
        <v>29</v>
      </c>
      <c r="C32" t="str">
        <f>IF(Sales_Data[[#This Row],[Age]]&lt;=21,"18-21",IF(Sales_Data[[#This Row],[Age]]&lt;=25,"22-25",IF(Sales_Data[[#This Row],[Age]]&lt;=29,"26-29",IF(Sales_Data[[#This Row],[Age]]&lt;=33,"30-33","34-36"))))</f>
        <v>26-29</v>
      </c>
      <c r="D32" t="s">
        <v>13</v>
      </c>
      <c r="E32" t="s">
        <v>12</v>
      </c>
      <c r="F32" t="s">
        <v>13</v>
      </c>
      <c r="G32" t="s">
        <v>14</v>
      </c>
      <c r="H32" t="s">
        <v>20</v>
      </c>
      <c r="I32" t="s">
        <v>21</v>
      </c>
      <c r="J32">
        <v>11</v>
      </c>
      <c r="K32" t="s">
        <v>17</v>
      </c>
    </row>
    <row r="33" spans="1:11" x14ac:dyDescent="0.3">
      <c r="A33" t="s">
        <v>24</v>
      </c>
      <c r="B33">
        <v>28</v>
      </c>
      <c r="C33" t="str">
        <f>IF(Sales_Data[[#This Row],[Age]]&lt;=21,"18-21",IF(Sales_Data[[#This Row],[Age]]&lt;=25,"22-25",IF(Sales_Data[[#This Row],[Age]]&lt;=29,"26-29",IF(Sales_Data[[#This Row],[Age]]&lt;=33,"30-33","34-36"))))</f>
        <v>26-29</v>
      </c>
      <c r="D33" t="s">
        <v>13</v>
      </c>
      <c r="E33" t="s">
        <v>12</v>
      </c>
      <c r="F33" t="s">
        <v>12</v>
      </c>
      <c r="G33" t="s">
        <v>14</v>
      </c>
      <c r="H33" t="s">
        <v>20</v>
      </c>
      <c r="I33" t="s">
        <v>21</v>
      </c>
      <c r="J33">
        <v>8</v>
      </c>
      <c r="K33" t="s">
        <v>17</v>
      </c>
    </row>
    <row r="34" spans="1:11" x14ac:dyDescent="0.3">
      <c r="A34" t="s">
        <v>24</v>
      </c>
      <c r="B34">
        <v>30</v>
      </c>
      <c r="C34" t="str">
        <f>IF(Sales_Data[[#This Row],[Age]]&lt;=21,"18-21",IF(Sales_Data[[#This Row],[Age]]&lt;=25,"22-25",IF(Sales_Data[[#This Row],[Age]]&lt;=29,"26-29",IF(Sales_Data[[#This Row],[Age]]&lt;=33,"30-33","34-36"))))</f>
        <v>30-33</v>
      </c>
      <c r="D34" t="s">
        <v>12</v>
      </c>
      <c r="E34" t="s">
        <v>12</v>
      </c>
      <c r="F34" t="s">
        <v>12</v>
      </c>
      <c r="G34" t="s">
        <v>14</v>
      </c>
      <c r="H34" t="s">
        <v>20</v>
      </c>
      <c r="I34" t="s">
        <v>21</v>
      </c>
      <c r="J34">
        <v>11</v>
      </c>
      <c r="K34" t="s">
        <v>17</v>
      </c>
    </row>
    <row r="35" spans="1:11" x14ac:dyDescent="0.3">
      <c r="A35" t="s">
        <v>24</v>
      </c>
      <c r="B35">
        <v>28</v>
      </c>
      <c r="C35" t="str">
        <f>IF(Sales_Data[[#This Row],[Age]]&lt;=21,"18-21",IF(Sales_Data[[#This Row],[Age]]&lt;=25,"22-25",IF(Sales_Data[[#This Row],[Age]]&lt;=29,"26-29",IF(Sales_Data[[#This Row],[Age]]&lt;=33,"30-33","34-36"))))</f>
        <v>26-29</v>
      </c>
      <c r="D35" t="s">
        <v>13</v>
      </c>
      <c r="E35" t="s">
        <v>13</v>
      </c>
      <c r="F35" t="s">
        <v>13</v>
      </c>
      <c r="G35" t="s">
        <v>14</v>
      </c>
      <c r="H35" t="s">
        <v>15</v>
      </c>
      <c r="I35" t="s">
        <v>16</v>
      </c>
      <c r="J35">
        <v>8</v>
      </c>
      <c r="K35" t="s">
        <v>17</v>
      </c>
    </row>
    <row r="36" spans="1:11" x14ac:dyDescent="0.3">
      <c r="A36" t="s">
        <v>24</v>
      </c>
      <c r="B36">
        <v>28</v>
      </c>
      <c r="C36" t="str">
        <f>IF(Sales_Data[[#This Row],[Age]]&lt;=21,"18-21",IF(Sales_Data[[#This Row],[Age]]&lt;=25,"22-25",IF(Sales_Data[[#This Row],[Age]]&lt;=29,"26-29",IF(Sales_Data[[#This Row],[Age]]&lt;=33,"30-33","34-36"))))</f>
        <v>26-29</v>
      </c>
      <c r="D36" t="s">
        <v>13</v>
      </c>
      <c r="E36" t="s">
        <v>13</v>
      </c>
      <c r="F36" t="s">
        <v>13</v>
      </c>
      <c r="G36" t="s">
        <v>14</v>
      </c>
      <c r="H36" t="s">
        <v>20</v>
      </c>
      <c r="I36" t="s">
        <v>21</v>
      </c>
      <c r="J36">
        <v>11</v>
      </c>
      <c r="K36" t="s">
        <v>17</v>
      </c>
    </row>
    <row r="37" spans="1:11" x14ac:dyDescent="0.3">
      <c r="A37" t="s">
        <v>26</v>
      </c>
      <c r="B37">
        <v>32</v>
      </c>
      <c r="C37" t="str">
        <f>IF(Sales_Data[[#This Row],[Age]]&lt;=21,"18-21",IF(Sales_Data[[#This Row],[Age]]&lt;=25,"22-25",IF(Sales_Data[[#This Row],[Age]]&lt;=29,"26-29",IF(Sales_Data[[#This Row],[Age]]&lt;=33,"30-33","34-36"))))</f>
        <v>30-33</v>
      </c>
      <c r="D37" t="s">
        <v>13</v>
      </c>
      <c r="E37" t="s">
        <v>13</v>
      </c>
      <c r="F37" t="s">
        <v>12</v>
      </c>
      <c r="G37" t="s">
        <v>12</v>
      </c>
      <c r="H37" t="s">
        <v>23</v>
      </c>
      <c r="I37" t="s">
        <v>21</v>
      </c>
      <c r="J37">
        <v>7</v>
      </c>
      <c r="K37" t="s">
        <v>17</v>
      </c>
    </row>
    <row r="38" spans="1:11" x14ac:dyDescent="0.3">
      <c r="A38" t="s">
        <v>26</v>
      </c>
      <c r="B38">
        <v>32</v>
      </c>
      <c r="C38" t="str">
        <f>IF(Sales_Data[[#This Row],[Age]]&lt;=21,"18-21",IF(Sales_Data[[#This Row],[Age]]&lt;=25,"22-25",IF(Sales_Data[[#This Row],[Age]]&lt;=29,"26-29",IF(Sales_Data[[#This Row],[Age]]&lt;=33,"30-33","34-36"))))</f>
        <v>30-33</v>
      </c>
      <c r="D38" t="s">
        <v>13</v>
      </c>
      <c r="E38" t="s">
        <v>12</v>
      </c>
      <c r="F38" t="s">
        <v>13</v>
      </c>
      <c r="G38" t="s">
        <v>14</v>
      </c>
      <c r="H38" t="s">
        <v>20</v>
      </c>
      <c r="I38" t="s">
        <v>21</v>
      </c>
      <c r="J38">
        <v>5</v>
      </c>
      <c r="K38" t="s">
        <v>17</v>
      </c>
    </row>
    <row r="39" spans="1:11" x14ac:dyDescent="0.3">
      <c r="A39" t="s">
        <v>26</v>
      </c>
      <c r="B39">
        <v>28</v>
      </c>
      <c r="C39" t="str">
        <f>IF(Sales_Data[[#This Row],[Age]]&lt;=21,"18-21",IF(Sales_Data[[#This Row],[Age]]&lt;=25,"22-25",IF(Sales_Data[[#This Row],[Age]]&lt;=29,"26-29",IF(Sales_Data[[#This Row],[Age]]&lt;=33,"30-33","34-36"))))</f>
        <v>26-29</v>
      </c>
      <c r="D39" t="s">
        <v>13</v>
      </c>
      <c r="E39" t="s">
        <v>12</v>
      </c>
      <c r="F39" t="s">
        <v>13</v>
      </c>
      <c r="G39" t="s">
        <v>14</v>
      </c>
      <c r="H39" t="s">
        <v>20</v>
      </c>
      <c r="I39" t="s">
        <v>21</v>
      </c>
      <c r="J39">
        <v>11</v>
      </c>
      <c r="K39" t="s">
        <v>17</v>
      </c>
    </row>
    <row r="40" spans="1:11" x14ac:dyDescent="0.3">
      <c r="A40" t="s">
        <v>26</v>
      </c>
      <c r="B40">
        <v>30</v>
      </c>
      <c r="C40" t="str">
        <f>IF(Sales_Data[[#This Row],[Age]]&lt;=21,"18-21",IF(Sales_Data[[#This Row],[Age]]&lt;=25,"22-25",IF(Sales_Data[[#This Row],[Age]]&lt;=29,"26-29",IF(Sales_Data[[#This Row],[Age]]&lt;=33,"30-33","34-36"))))</f>
        <v>30-33</v>
      </c>
      <c r="D40" t="s">
        <v>12</v>
      </c>
      <c r="E40" t="s">
        <v>12</v>
      </c>
      <c r="F40" t="s">
        <v>13</v>
      </c>
      <c r="G40" t="s">
        <v>14</v>
      </c>
      <c r="H40" t="s">
        <v>23</v>
      </c>
      <c r="I40" t="s">
        <v>16</v>
      </c>
      <c r="J40">
        <v>9</v>
      </c>
      <c r="K40" t="s">
        <v>19</v>
      </c>
    </row>
    <row r="41" spans="1:11" x14ac:dyDescent="0.3">
      <c r="A41" t="s">
        <v>26</v>
      </c>
      <c r="B41">
        <v>30</v>
      </c>
      <c r="C41" t="str">
        <f>IF(Sales_Data[[#This Row],[Age]]&lt;=21,"18-21",IF(Sales_Data[[#This Row],[Age]]&lt;=25,"22-25",IF(Sales_Data[[#This Row],[Age]]&lt;=29,"26-29",IF(Sales_Data[[#This Row],[Age]]&lt;=33,"30-33","34-36"))))</f>
        <v>30-33</v>
      </c>
      <c r="D41" t="s">
        <v>13</v>
      </c>
      <c r="E41" t="s">
        <v>12</v>
      </c>
      <c r="F41" t="s">
        <v>12</v>
      </c>
      <c r="G41" t="s">
        <v>14</v>
      </c>
      <c r="H41" t="s">
        <v>20</v>
      </c>
      <c r="I41" t="s">
        <v>21</v>
      </c>
      <c r="J41">
        <v>6</v>
      </c>
      <c r="K41" t="s">
        <v>17</v>
      </c>
    </row>
    <row r="42" spans="1:11" x14ac:dyDescent="0.3">
      <c r="A42" t="s">
        <v>26</v>
      </c>
      <c r="B42">
        <v>28</v>
      </c>
      <c r="C42" t="str">
        <f>IF(Sales_Data[[#This Row],[Age]]&lt;=21,"18-21",IF(Sales_Data[[#This Row],[Age]]&lt;=25,"22-25",IF(Sales_Data[[#This Row],[Age]]&lt;=29,"26-29",IF(Sales_Data[[#This Row],[Age]]&lt;=33,"30-33","34-36"))))</f>
        <v>26-29</v>
      </c>
      <c r="D42" t="s">
        <v>13</v>
      </c>
      <c r="E42" t="s">
        <v>13</v>
      </c>
      <c r="F42" t="s">
        <v>13</v>
      </c>
      <c r="G42" t="s">
        <v>14</v>
      </c>
      <c r="H42" t="s">
        <v>15</v>
      </c>
      <c r="I42" t="s">
        <v>18</v>
      </c>
      <c r="J42">
        <v>9</v>
      </c>
      <c r="K42" t="s">
        <v>17</v>
      </c>
    </row>
    <row r="43" spans="1:11" x14ac:dyDescent="0.3">
      <c r="A43" t="s">
        <v>26</v>
      </c>
      <c r="B43">
        <v>28</v>
      </c>
      <c r="C43" t="str">
        <f>IF(Sales_Data[[#This Row],[Age]]&lt;=21,"18-21",IF(Sales_Data[[#This Row],[Age]]&lt;=25,"22-25",IF(Sales_Data[[#This Row],[Age]]&lt;=29,"26-29",IF(Sales_Data[[#This Row],[Age]]&lt;=33,"30-33","34-36"))))</f>
        <v>26-29</v>
      </c>
      <c r="D43" t="s">
        <v>13</v>
      </c>
      <c r="E43" t="s">
        <v>13</v>
      </c>
      <c r="F43" t="s">
        <v>12</v>
      </c>
      <c r="G43" t="s">
        <v>14</v>
      </c>
      <c r="H43" t="s">
        <v>15</v>
      </c>
      <c r="I43" t="s">
        <v>18</v>
      </c>
      <c r="J43">
        <v>9</v>
      </c>
      <c r="K43" t="s">
        <v>17</v>
      </c>
    </row>
    <row r="44" spans="1:11" x14ac:dyDescent="0.3">
      <c r="A44" t="s">
        <v>26</v>
      </c>
      <c r="B44">
        <v>28</v>
      </c>
      <c r="C44" t="str">
        <f>IF(Sales_Data[[#This Row],[Age]]&lt;=21,"18-21",IF(Sales_Data[[#This Row],[Age]]&lt;=25,"22-25",IF(Sales_Data[[#This Row],[Age]]&lt;=29,"26-29",IF(Sales_Data[[#This Row],[Age]]&lt;=33,"30-33","34-36"))))</f>
        <v>26-29</v>
      </c>
      <c r="D44" t="s">
        <v>13</v>
      </c>
      <c r="E44" t="s">
        <v>12</v>
      </c>
      <c r="F44" t="s">
        <v>13</v>
      </c>
      <c r="G44" t="s">
        <v>22</v>
      </c>
      <c r="H44" t="s">
        <v>15</v>
      </c>
      <c r="I44" t="s">
        <v>18</v>
      </c>
      <c r="J44">
        <v>9</v>
      </c>
      <c r="K44" t="s">
        <v>17</v>
      </c>
    </row>
    <row r="45" spans="1:11" x14ac:dyDescent="0.3">
      <c r="A45" t="s">
        <v>26</v>
      </c>
      <c r="B45">
        <v>28</v>
      </c>
      <c r="C45" t="str">
        <f>IF(Sales_Data[[#This Row],[Age]]&lt;=21,"18-21",IF(Sales_Data[[#This Row],[Age]]&lt;=25,"22-25",IF(Sales_Data[[#This Row],[Age]]&lt;=29,"26-29",IF(Sales_Data[[#This Row],[Age]]&lt;=33,"30-33","34-36"))))</f>
        <v>26-29</v>
      </c>
      <c r="D45" t="s">
        <v>13</v>
      </c>
      <c r="E45" t="s">
        <v>12</v>
      </c>
      <c r="F45" t="s">
        <v>12</v>
      </c>
      <c r="G45" t="s">
        <v>14</v>
      </c>
      <c r="H45" t="s">
        <v>20</v>
      </c>
      <c r="I45" t="s">
        <v>21</v>
      </c>
      <c r="J45">
        <v>8</v>
      </c>
      <c r="K45" t="s">
        <v>17</v>
      </c>
    </row>
    <row r="46" spans="1:11" x14ac:dyDescent="0.3">
      <c r="A46" t="s">
        <v>26</v>
      </c>
      <c r="B46">
        <v>28</v>
      </c>
      <c r="C46" t="str">
        <f>IF(Sales_Data[[#This Row],[Age]]&lt;=21,"18-21",IF(Sales_Data[[#This Row],[Age]]&lt;=25,"22-25",IF(Sales_Data[[#This Row],[Age]]&lt;=29,"26-29",IF(Sales_Data[[#This Row],[Age]]&lt;=33,"30-33","34-36"))))</f>
        <v>26-29</v>
      </c>
      <c r="D46" t="s">
        <v>13</v>
      </c>
      <c r="E46" t="s">
        <v>13</v>
      </c>
      <c r="F46" t="s">
        <v>12</v>
      </c>
      <c r="G46" t="s">
        <v>12</v>
      </c>
      <c r="H46" t="s">
        <v>20</v>
      </c>
      <c r="I46" t="s">
        <v>16</v>
      </c>
      <c r="J46">
        <v>6</v>
      </c>
      <c r="K46" t="s">
        <v>17</v>
      </c>
    </row>
    <row r="47" spans="1:11" x14ac:dyDescent="0.3">
      <c r="A47" t="s">
        <v>26</v>
      </c>
      <c r="B47">
        <v>28</v>
      </c>
      <c r="C47" t="str">
        <f>IF(Sales_Data[[#This Row],[Age]]&lt;=21,"18-21",IF(Sales_Data[[#This Row],[Age]]&lt;=25,"22-25",IF(Sales_Data[[#This Row],[Age]]&lt;=29,"26-29",IF(Sales_Data[[#This Row],[Age]]&lt;=33,"30-33","34-36"))))</f>
        <v>26-29</v>
      </c>
      <c r="D47" t="s">
        <v>13</v>
      </c>
      <c r="E47" t="s">
        <v>12</v>
      </c>
      <c r="F47" t="s">
        <v>12</v>
      </c>
      <c r="G47" t="s">
        <v>12</v>
      </c>
      <c r="H47" t="s">
        <v>20</v>
      </c>
      <c r="I47" t="s">
        <v>16</v>
      </c>
      <c r="J47">
        <v>8</v>
      </c>
      <c r="K47" t="s">
        <v>17</v>
      </c>
    </row>
    <row r="48" spans="1:11" x14ac:dyDescent="0.3">
      <c r="A48" t="s">
        <v>11</v>
      </c>
      <c r="B48">
        <v>28</v>
      </c>
      <c r="C48" t="str">
        <f>IF(Sales_Data[[#This Row],[Age]]&lt;=21,"18-21",IF(Sales_Data[[#This Row],[Age]]&lt;=25,"22-25",IF(Sales_Data[[#This Row],[Age]]&lt;=29,"26-29",IF(Sales_Data[[#This Row],[Age]]&lt;=33,"30-33","34-36"))))</f>
        <v>26-29</v>
      </c>
      <c r="D48" t="s">
        <v>13</v>
      </c>
      <c r="E48" t="s">
        <v>12</v>
      </c>
      <c r="F48" t="s">
        <v>12</v>
      </c>
      <c r="G48" t="s">
        <v>14</v>
      </c>
      <c r="H48" t="s">
        <v>20</v>
      </c>
      <c r="I48" t="s">
        <v>21</v>
      </c>
      <c r="J48">
        <v>11</v>
      </c>
      <c r="K48" t="s">
        <v>17</v>
      </c>
    </row>
    <row r="49" spans="1:11" x14ac:dyDescent="0.3">
      <c r="A49" t="s">
        <v>11</v>
      </c>
      <c r="B49">
        <v>31</v>
      </c>
      <c r="C49" t="str">
        <f>IF(Sales_Data[[#This Row],[Age]]&lt;=21,"18-21",IF(Sales_Data[[#This Row],[Age]]&lt;=25,"22-25",IF(Sales_Data[[#This Row],[Age]]&lt;=29,"26-29",IF(Sales_Data[[#This Row],[Age]]&lt;=33,"30-33","34-36"))))</f>
        <v>30-33</v>
      </c>
      <c r="D49" t="s">
        <v>13</v>
      </c>
      <c r="E49" t="s">
        <v>13</v>
      </c>
      <c r="F49" t="s">
        <v>12</v>
      </c>
      <c r="G49" t="s">
        <v>14</v>
      </c>
      <c r="H49" t="s">
        <v>23</v>
      </c>
      <c r="I49" t="s">
        <v>18</v>
      </c>
      <c r="J49">
        <v>3</v>
      </c>
      <c r="K49" t="s">
        <v>17</v>
      </c>
    </row>
    <row r="50" spans="1:11" x14ac:dyDescent="0.3">
      <c r="A50" t="s">
        <v>11</v>
      </c>
      <c r="B50">
        <v>30</v>
      </c>
      <c r="C50" t="str">
        <f>IF(Sales_Data[[#This Row],[Age]]&lt;=21,"18-21",IF(Sales_Data[[#This Row],[Age]]&lt;=25,"22-25",IF(Sales_Data[[#This Row],[Age]]&lt;=29,"26-29",IF(Sales_Data[[#This Row],[Age]]&lt;=33,"30-33","34-36"))))</f>
        <v>30-33</v>
      </c>
      <c r="D50" t="s">
        <v>13</v>
      </c>
      <c r="E50" t="s">
        <v>13</v>
      </c>
      <c r="F50" t="s">
        <v>13</v>
      </c>
      <c r="G50" t="s">
        <v>14</v>
      </c>
      <c r="H50" t="s">
        <v>15</v>
      </c>
      <c r="I50" t="s">
        <v>21</v>
      </c>
      <c r="J50">
        <v>6</v>
      </c>
      <c r="K50" t="s">
        <v>17</v>
      </c>
    </row>
    <row r="51" spans="1:11" x14ac:dyDescent="0.3">
      <c r="A51" t="s">
        <v>11</v>
      </c>
      <c r="B51">
        <v>32</v>
      </c>
      <c r="C51" t="str">
        <f>IF(Sales_Data[[#This Row],[Age]]&lt;=21,"18-21",IF(Sales_Data[[#This Row],[Age]]&lt;=25,"22-25",IF(Sales_Data[[#This Row],[Age]]&lt;=29,"26-29",IF(Sales_Data[[#This Row],[Age]]&lt;=33,"30-33","34-36"))))</f>
        <v>30-33</v>
      </c>
      <c r="D51" t="s">
        <v>13</v>
      </c>
      <c r="E51" t="s">
        <v>13</v>
      </c>
      <c r="F51" t="s">
        <v>13</v>
      </c>
      <c r="G51" t="s">
        <v>14</v>
      </c>
      <c r="H51" t="s">
        <v>23</v>
      </c>
      <c r="I51" t="s">
        <v>21</v>
      </c>
      <c r="J51">
        <v>3</v>
      </c>
      <c r="K51" t="s">
        <v>17</v>
      </c>
    </row>
    <row r="52" spans="1:11" x14ac:dyDescent="0.3">
      <c r="A52" t="s">
        <v>11</v>
      </c>
      <c r="B52">
        <v>30</v>
      </c>
      <c r="C52" t="str">
        <f>IF(Sales_Data[[#This Row],[Age]]&lt;=21,"18-21",IF(Sales_Data[[#This Row],[Age]]&lt;=25,"22-25",IF(Sales_Data[[#This Row],[Age]]&lt;=29,"26-29",IF(Sales_Data[[#This Row],[Age]]&lt;=33,"30-33","34-36"))))</f>
        <v>30-33</v>
      </c>
      <c r="D52" t="s">
        <v>13</v>
      </c>
      <c r="E52" t="s">
        <v>12</v>
      </c>
      <c r="F52" t="s">
        <v>13</v>
      </c>
      <c r="G52" t="s">
        <v>14</v>
      </c>
      <c r="H52" t="s">
        <v>15</v>
      </c>
      <c r="I52" t="s">
        <v>21</v>
      </c>
      <c r="J52">
        <v>12</v>
      </c>
      <c r="K52" t="s">
        <v>17</v>
      </c>
    </row>
    <row r="53" spans="1:11" x14ac:dyDescent="0.3">
      <c r="A53" t="s">
        <v>11</v>
      </c>
      <c r="B53">
        <v>28</v>
      </c>
      <c r="C53" t="str">
        <f>IF(Sales_Data[[#This Row],[Age]]&lt;=21,"18-21",IF(Sales_Data[[#This Row],[Age]]&lt;=25,"22-25",IF(Sales_Data[[#This Row],[Age]]&lt;=29,"26-29",IF(Sales_Data[[#This Row],[Age]]&lt;=33,"30-33","34-36"))))</f>
        <v>26-29</v>
      </c>
      <c r="D53" t="s">
        <v>13</v>
      </c>
      <c r="E53" t="s">
        <v>13</v>
      </c>
      <c r="F53" t="s">
        <v>12</v>
      </c>
      <c r="G53" t="s">
        <v>12</v>
      </c>
      <c r="H53" t="s">
        <v>20</v>
      </c>
      <c r="I53" t="s">
        <v>21</v>
      </c>
      <c r="J53">
        <v>14</v>
      </c>
      <c r="K53" t="s">
        <v>17</v>
      </c>
    </row>
    <row r="54" spans="1:11" x14ac:dyDescent="0.3">
      <c r="A54" t="s">
        <v>11</v>
      </c>
      <c r="B54">
        <v>28</v>
      </c>
      <c r="C54" t="str">
        <f>IF(Sales_Data[[#This Row],[Age]]&lt;=21,"18-21",IF(Sales_Data[[#This Row],[Age]]&lt;=25,"22-25",IF(Sales_Data[[#This Row],[Age]]&lt;=29,"26-29",IF(Sales_Data[[#This Row],[Age]]&lt;=33,"30-33","34-36"))))</f>
        <v>26-29</v>
      </c>
      <c r="D54" t="s">
        <v>13</v>
      </c>
      <c r="E54" t="s">
        <v>13</v>
      </c>
      <c r="F54" t="s">
        <v>12</v>
      </c>
      <c r="G54" t="s">
        <v>14</v>
      </c>
      <c r="H54" t="s">
        <v>15</v>
      </c>
      <c r="I54" t="s">
        <v>16</v>
      </c>
      <c r="J54">
        <v>9</v>
      </c>
      <c r="K54" t="s">
        <v>17</v>
      </c>
    </row>
    <row r="55" spans="1:11" x14ac:dyDescent="0.3">
      <c r="A55" t="s">
        <v>11</v>
      </c>
      <c r="B55">
        <v>28</v>
      </c>
      <c r="C55" t="str">
        <f>IF(Sales_Data[[#This Row],[Age]]&lt;=21,"18-21",IF(Sales_Data[[#This Row],[Age]]&lt;=25,"22-25",IF(Sales_Data[[#This Row],[Age]]&lt;=29,"26-29",IF(Sales_Data[[#This Row],[Age]]&lt;=33,"30-33","34-36"))))</f>
        <v>26-29</v>
      </c>
      <c r="D55" t="s">
        <v>13</v>
      </c>
      <c r="E55" t="s">
        <v>13</v>
      </c>
      <c r="F55" t="s">
        <v>13</v>
      </c>
      <c r="G55" t="s">
        <v>22</v>
      </c>
      <c r="H55" t="s">
        <v>15</v>
      </c>
      <c r="I55" t="s">
        <v>16</v>
      </c>
      <c r="J55">
        <v>3</v>
      </c>
      <c r="K55" t="s">
        <v>17</v>
      </c>
    </row>
    <row r="56" spans="1:11" x14ac:dyDescent="0.3">
      <c r="A56" t="s">
        <v>11</v>
      </c>
      <c r="B56">
        <v>29</v>
      </c>
      <c r="C56" t="str">
        <f>IF(Sales_Data[[#This Row],[Age]]&lt;=21,"18-21",IF(Sales_Data[[#This Row],[Age]]&lt;=25,"22-25",IF(Sales_Data[[#This Row],[Age]]&lt;=29,"26-29",IF(Sales_Data[[#This Row],[Age]]&lt;=33,"30-33","34-36"))))</f>
        <v>26-29</v>
      </c>
      <c r="D56" t="s">
        <v>13</v>
      </c>
      <c r="E56" t="s">
        <v>12</v>
      </c>
      <c r="F56" t="s">
        <v>13</v>
      </c>
      <c r="G56" t="s">
        <v>14</v>
      </c>
      <c r="H56" t="s">
        <v>20</v>
      </c>
      <c r="I56" t="s">
        <v>21</v>
      </c>
      <c r="J56">
        <v>11</v>
      </c>
      <c r="K56" t="s">
        <v>17</v>
      </c>
    </row>
    <row r="57" spans="1:11" x14ac:dyDescent="0.3">
      <c r="A57" t="s">
        <v>11</v>
      </c>
      <c r="B57">
        <v>28</v>
      </c>
      <c r="C57" t="str">
        <f>IF(Sales_Data[[#This Row],[Age]]&lt;=21,"18-21",IF(Sales_Data[[#This Row],[Age]]&lt;=25,"22-25",IF(Sales_Data[[#This Row],[Age]]&lt;=29,"26-29",IF(Sales_Data[[#This Row],[Age]]&lt;=33,"30-33","34-36"))))</f>
        <v>26-29</v>
      </c>
      <c r="D57" t="s">
        <v>13</v>
      </c>
      <c r="E57" t="s">
        <v>12</v>
      </c>
      <c r="F57" t="s">
        <v>13</v>
      </c>
      <c r="G57" t="s">
        <v>14</v>
      </c>
      <c r="H57" t="s">
        <v>15</v>
      </c>
      <c r="I57" t="s">
        <v>18</v>
      </c>
      <c r="J57">
        <v>3</v>
      </c>
      <c r="K57" t="s">
        <v>17</v>
      </c>
    </row>
    <row r="58" spans="1:11" x14ac:dyDescent="0.3">
      <c r="A58" t="s">
        <v>11</v>
      </c>
      <c r="B58">
        <v>28</v>
      </c>
      <c r="C58" t="str">
        <f>IF(Sales_Data[[#This Row],[Age]]&lt;=21,"18-21",IF(Sales_Data[[#This Row],[Age]]&lt;=25,"22-25",IF(Sales_Data[[#This Row],[Age]]&lt;=29,"26-29",IF(Sales_Data[[#This Row],[Age]]&lt;=33,"30-33","34-36"))))</f>
        <v>26-29</v>
      </c>
      <c r="D58" t="s">
        <v>13</v>
      </c>
      <c r="E58" t="s">
        <v>13</v>
      </c>
      <c r="F58" t="s">
        <v>12</v>
      </c>
      <c r="G58" t="s">
        <v>14</v>
      </c>
      <c r="H58" t="s">
        <v>15</v>
      </c>
      <c r="I58" t="s">
        <v>16</v>
      </c>
      <c r="J58">
        <v>14</v>
      </c>
      <c r="K58" t="s">
        <v>17</v>
      </c>
    </row>
    <row r="59" spans="1:11" x14ac:dyDescent="0.3">
      <c r="A59" t="s">
        <v>11</v>
      </c>
      <c r="B59">
        <v>30</v>
      </c>
      <c r="C59" t="str">
        <f>IF(Sales_Data[[#This Row],[Age]]&lt;=21,"18-21",IF(Sales_Data[[#This Row],[Age]]&lt;=25,"22-25",IF(Sales_Data[[#This Row],[Age]]&lt;=29,"26-29",IF(Sales_Data[[#This Row],[Age]]&lt;=33,"30-33","34-36"))))</f>
        <v>30-33</v>
      </c>
      <c r="D59" t="s">
        <v>13</v>
      </c>
      <c r="E59" t="s">
        <v>13</v>
      </c>
      <c r="F59" t="s">
        <v>13</v>
      </c>
      <c r="G59" t="s">
        <v>22</v>
      </c>
      <c r="H59" t="s">
        <v>20</v>
      </c>
      <c r="I59" t="s">
        <v>21</v>
      </c>
      <c r="J59">
        <v>14</v>
      </c>
      <c r="K59" t="s">
        <v>17</v>
      </c>
    </row>
    <row r="60" spans="1:11" x14ac:dyDescent="0.3">
      <c r="A60" t="s">
        <v>11</v>
      </c>
      <c r="B60">
        <v>28</v>
      </c>
      <c r="C60" t="str">
        <f>IF(Sales_Data[[#This Row],[Age]]&lt;=21,"18-21",IF(Sales_Data[[#This Row],[Age]]&lt;=25,"22-25",IF(Sales_Data[[#This Row],[Age]]&lt;=29,"26-29",IF(Sales_Data[[#This Row],[Age]]&lt;=33,"30-33","34-36"))))</f>
        <v>26-29</v>
      </c>
      <c r="D60" t="s">
        <v>13</v>
      </c>
      <c r="E60" t="s">
        <v>13</v>
      </c>
      <c r="F60" t="s">
        <v>12</v>
      </c>
      <c r="G60" t="s">
        <v>14</v>
      </c>
      <c r="H60" t="s">
        <v>27</v>
      </c>
      <c r="I60" t="s">
        <v>18</v>
      </c>
      <c r="J60">
        <v>11</v>
      </c>
      <c r="K60" t="s">
        <v>17</v>
      </c>
    </row>
    <row r="61" spans="1:11" x14ac:dyDescent="0.3">
      <c r="A61" t="s">
        <v>24</v>
      </c>
      <c r="B61">
        <v>28</v>
      </c>
      <c r="C61" t="str">
        <f>IF(Sales_Data[[#This Row],[Age]]&lt;=21,"18-21",IF(Sales_Data[[#This Row],[Age]]&lt;=25,"22-25",IF(Sales_Data[[#This Row],[Age]]&lt;=29,"26-29",IF(Sales_Data[[#This Row],[Age]]&lt;=33,"30-33","34-36"))))</f>
        <v>26-29</v>
      </c>
      <c r="D61" t="s">
        <v>12</v>
      </c>
      <c r="E61" t="s">
        <v>12</v>
      </c>
      <c r="F61" t="s">
        <v>12</v>
      </c>
      <c r="G61" t="s">
        <v>12</v>
      </c>
      <c r="H61" t="s">
        <v>15</v>
      </c>
      <c r="I61" t="s">
        <v>18</v>
      </c>
      <c r="J61">
        <v>8</v>
      </c>
      <c r="K61" t="s">
        <v>17</v>
      </c>
    </row>
    <row r="62" spans="1:11" x14ac:dyDescent="0.3">
      <c r="A62" t="s">
        <v>24</v>
      </c>
      <c r="B62">
        <v>28</v>
      </c>
      <c r="C62" t="str">
        <f>IF(Sales_Data[[#This Row],[Age]]&lt;=21,"18-21",IF(Sales_Data[[#This Row],[Age]]&lt;=25,"22-25",IF(Sales_Data[[#This Row],[Age]]&lt;=29,"26-29",IF(Sales_Data[[#This Row],[Age]]&lt;=33,"30-33","34-36"))))</f>
        <v>26-29</v>
      </c>
      <c r="D62" t="s">
        <v>12</v>
      </c>
      <c r="E62" t="s">
        <v>12</v>
      </c>
      <c r="F62" t="s">
        <v>12</v>
      </c>
      <c r="G62" t="s">
        <v>12</v>
      </c>
      <c r="H62" t="s">
        <v>15</v>
      </c>
      <c r="I62" t="s">
        <v>16</v>
      </c>
      <c r="J62">
        <v>18</v>
      </c>
      <c r="K62" t="s">
        <v>17</v>
      </c>
    </row>
    <row r="63" spans="1:11" x14ac:dyDescent="0.3">
      <c r="A63" t="s">
        <v>26</v>
      </c>
      <c r="B63">
        <v>30</v>
      </c>
      <c r="C63" t="str">
        <f>IF(Sales_Data[[#This Row],[Age]]&lt;=21,"18-21",IF(Sales_Data[[#This Row],[Age]]&lt;=25,"22-25",IF(Sales_Data[[#This Row],[Age]]&lt;=29,"26-29",IF(Sales_Data[[#This Row],[Age]]&lt;=33,"30-33","34-36"))))</f>
        <v>30-33</v>
      </c>
      <c r="D63" t="s">
        <v>13</v>
      </c>
      <c r="E63" t="s">
        <v>12</v>
      </c>
      <c r="F63" t="s">
        <v>12</v>
      </c>
      <c r="G63" t="s">
        <v>12</v>
      </c>
      <c r="H63" t="s">
        <v>20</v>
      </c>
      <c r="I63" t="s">
        <v>18</v>
      </c>
      <c r="J63">
        <v>5</v>
      </c>
      <c r="K63" t="s">
        <v>17</v>
      </c>
    </row>
    <row r="64" spans="1:11" x14ac:dyDescent="0.3">
      <c r="A64" t="s">
        <v>26</v>
      </c>
      <c r="B64">
        <v>29</v>
      </c>
      <c r="C64" t="str">
        <f>IF(Sales_Data[[#This Row],[Age]]&lt;=21,"18-21",IF(Sales_Data[[#This Row],[Age]]&lt;=25,"22-25",IF(Sales_Data[[#This Row],[Age]]&lt;=29,"26-29",IF(Sales_Data[[#This Row],[Age]]&lt;=33,"30-33","34-36"))))</f>
        <v>26-29</v>
      </c>
      <c r="D64" t="s">
        <v>13</v>
      </c>
      <c r="E64" t="s">
        <v>13</v>
      </c>
      <c r="F64" t="s">
        <v>13</v>
      </c>
      <c r="G64" t="s">
        <v>14</v>
      </c>
      <c r="H64" t="s">
        <v>23</v>
      </c>
      <c r="I64" t="s">
        <v>21</v>
      </c>
      <c r="J64">
        <v>7</v>
      </c>
      <c r="K64" t="s">
        <v>17</v>
      </c>
    </row>
    <row r="65" spans="1:11" x14ac:dyDescent="0.3">
      <c r="A65" t="s">
        <v>26</v>
      </c>
      <c r="B65">
        <v>28</v>
      </c>
      <c r="C65" t="str">
        <f>IF(Sales_Data[[#This Row],[Age]]&lt;=21,"18-21",IF(Sales_Data[[#This Row],[Age]]&lt;=25,"22-25",IF(Sales_Data[[#This Row],[Age]]&lt;=29,"26-29",IF(Sales_Data[[#This Row],[Age]]&lt;=33,"30-33","34-36"))))</f>
        <v>26-29</v>
      </c>
      <c r="D65" t="s">
        <v>13</v>
      </c>
      <c r="E65" t="s">
        <v>12</v>
      </c>
      <c r="F65" t="s">
        <v>12</v>
      </c>
      <c r="G65" t="s">
        <v>12</v>
      </c>
      <c r="H65" t="s">
        <v>20</v>
      </c>
      <c r="I65" t="s">
        <v>21</v>
      </c>
      <c r="J65">
        <v>9</v>
      </c>
      <c r="K65" t="s">
        <v>17</v>
      </c>
    </row>
    <row r="66" spans="1:11" x14ac:dyDescent="0.3">
      <c r="A66" t="s">
        <v>26</v>
      </c>
      <c r="B66">
        <v>28</v>
      </c>
      <c r="C66" t="str">
        <f>IF(Sales_Data[[#This Row],[Age]]&lt;=21,"18-21",IF(Sales_Data[[#This Row],[Age]]&lt;=25,"22-25",IF(Sales_Data[[#This Row],[Age]]&lt;=29,"26-29",IF(Sales_Data[[#This Row],[Age]]&lt;=33,"30-33","34-36"))))</f>
        <v>26-29</v>
      </c>
      <c r="D66" t="s">
        <v>13</v>
      </c>
      <c r="E66" t="s">
        <v>12</v>
      </c>
      <c r="F66" t="s">
        <v>12</v>
      </c>
      <c r="G66" t="s">
        <v>12</v>
      </c>
      <c r="H66" t="s">
        <v>15</v>
      </c>
      <c r="I66" t="s">
        <v>21</v>
      </c>
      <c r="J66">
        <v>6</v>
      </c>
      <c r="K66" t="s">
        <v>17</v>
      </c>
    </row>
    <row r="67" spans="1:11" x14ac:dyDescent="0.3">
      <c r="A67" t="s">
        <v>11</v>
      </c>
      <c r="B67">
        <v>28</v>
      </c>
      <c r="C67" t="str">
        <f>IF(Sales_Data[[#This Row],[Age]]&lt;=21,"18-21",IF(Sales_Data[[#This Row],[Age]]&lt;=25,"22-25",IF(Sales_Data[[#This Row],[Age]]&lt;=29,"26-29",IF(Sales_Data[[#This Row],[Age]]&lt;=33,"30-33","34-36"))))</f>
        <v>26-29</v>
      </c>
      <c r="D67" t="s">
        <v>12</v>
      </c>
      <c r="E67" t="s">
        <v>12</v>
      </c>
      <c r="F67" t="s">
        <v>13</v>
      </c>
      <c r="G67" t="s">
        <v>14</v>
      </c>
      <c r="H67" t="s">
        <v>20</v>
      </c>
      <c r="I67" t="s">
        <v>21</v>
      </c>
      <c r="J67">
        <v>10</v>
      </c>
      <c r="K67" t="s">
        <v>17</v>
      </c>
    </row>
    <row r="68" spans="1:11" x14ac:dyDescent="0.3">
      <c r="A68" t="s">
        <v>11</v>
      </c>
      <c r="B68">
        <v>27</v>
      </c>
      <c r="C68" t="str">
        <f>IF(Sales_Data[[#This Row],[Age]]&lt;=21,"18-21",IF(Sales_Data[[#This Row],[Age]]&lt;=25,"22-25",IF(Sales_Data[[#This Row],[Age]]&lt;=29,"26-29",IF(Sales_Data[[#This Row],[Age]]&lt;=33,"30-33","34-36"))))</f>
        <v>26-29</v>
      </c>
      <c r="D68" t="s">
        <v>13</v>
      </c>
      <c r="E68" t="s">
        <v>13</v>
      </c>
      <c r="F68" t="s">
        <v>12</v>
      </c>
      <c r="G68" t="s">
        <v>22</v>
      </c>
      <c r="H68" t="s">
        <v>15</v>
      </c>
      <c r="I68" t="s">
        <v>16</v>
      </c>
      <c r="J68">
        <v>16</v>
      </c>
      <c r="K68" t="s">
        <v>17</v>
      </c>
    </row>
    <row r="69" spans="1:11" x14ac:dyDescent="0.3">
      <c r="A69" t="s">
        <v>11</v>
      </c>
      <c r="B69">
        <v>27</v>
      </c>
      <c r="C69" t="str">
        <f>IF(Sales_Data[[#This Row],[Age]]&lt;=21,"18-21",IF(Sales_Data[[#This Row],[Age]]&lt;=25,"22-25",IF(Sales_Data[[#This Row],[Age]]&lt;=29,"26-29",IF(Sales_Data[[#This Row],[Age]]&lt;=33,"30-33","34-36"))))</f>
        <v>26-29</v>
      </c>
      <c r="D69" t="s">
        <v>13</v>
      </c>
      <c r="E69" t="s">
        <v>12</v>
      </c>
      <c r="F69" t="s">
        <v>12</v>
      </c>
      <c r="G69" t="s">
        <v>12</v>
      </c>
      <c r="H69" t="s">
        <v>20</v>
      </c>
      <c r="I69" t="s">
        <v>21</v>
      </c>
      <c r="J69">
        <v>8</v>
      </c>
      <c r="K69" t="s">
        <v>17</v>
      </c>
    </row>
    <row r="70" spans="1:11" x14ac:dyDescent="0.3">
      <c r="A70" t="s">
        <v>11</v>
      </c>
      <c r="B70">
        <v>27</v>
      </c>
      <c r="C70" t="str">
        <f>IF(Sales_Data[[#This Row],[Age]]&lt;=21,"18-21",IF(Sales_Data[[#This Row],[Age]]&lt;=25,"22-25",IF(Sales_Data[[#This Row],[Age]]&lt;=29,"26-29",IF(Sales_Data[[#This Row],[Age]]&lt;=33,"30-33","34-36"))))</f>
        <v>26-29</v>
      </c>
      <c r="D70" t="s">
        <v>13</v>
      </c>
      <c r="E70" t="s">
        <v>12</v>
      </c>
      <c r="F70" t="s">
        <v>12</v>
      </c>
      <c r="G70" t="s">
        <v>12</v>
      </c>
      <c r="H70" t="s">
        <v>15</v>
      </c>
      <c r="I70" t="s">
        <v>16</v>
      </c>
      <c r="J70">
        <v>6</v>
      </c>
      <c r="K70" t="s">
        <v>17</v>
      </c>
    </row>
    <row r="71" spans="1:11" x14ac:dyDescent="0.3">
      <c r="A71" t="s">
        <v>11</v>
      </c>
      <c r="B71">
        <v>27</v>
      </c>
      <c r="C71" t="str">
        <f>IF(Sales_Data[[#This Row],[Age]]&lt;=21,"18-21",IF(Sales_Data[[#This Row],[Age]]&lt;=25,"22-25",IF(Sales_Data[[#This Row],[Age]]&lt;=29,"26-29",IF(Sales_Data[[#This Row],[Age]]&lt;=33,"30-33","34-36"))))</f>
        <v>26-29</v>
      </c>
      <c r="D71" t="s">
        <v>13</v>
      </c>
      <c r="E71" t="s">
        <v>12</v>
      </c>
      <c r="F71" t="s">
        <v>13</v>
      </c>
      <c r="G71" t="s">
        <v>22</v>
      </c>
      <c r="H71" t="s">
        <v>15</v>
      </c>
      <c r="I71" t="s">
        <v>21</v>
      </c>
      <c r="J71">
        <v>9</v>
      </c>
      <c r="K71" t="s">
        <v>17</v>
      </c>
    </row>
    <row r="72" spans="1:11" x14ac:dyDescent="0.3">
      <c r="A72" t="s">
        <v>11</v>
      </c>
      <c r="B72">
        <v>27</v>
      </c>
      <c r="C72" t="str">
        <f>IF(Sales_Data[[#This Row],[Age]]&lt;=21,"18-21",IF(Sales_Data[[#This Row],[Age]]&lt;=25,"22-25",IF(Sales_Data[[#This Row],[Age]]&lt;=29,"26-29",IF(Sales_Data[[#This Row],[Age]]&lt;=33,"30-33","34-36"))))</f>
        <v>26-29</v>
      </c>
      <c r="D72" t="s">
        <v>13</v>
      </c>
      <c r="E72" t="s">
        <v>13</v>
      </c>
      <c r="F72" t="s">
        <v>12</v>
      </c>
      <c r="G72" t="s">
        <v>22</v>
      </c>
      <c r="H72" t="s">
        <v>15</v>
      </c>
      <c r="I72" t="s">
        <v>16</v>
      </c>
      <c r="J72">
        <v>16</v>
      </c>
      <c r="K72" t="s">
        <v>19</v>
      </c>
    </row>
    <row r="73" spans="1:11" x14ac:dyDescent="0.3">
      <c r="A73" t="s">
        <v>28</v>
      </c>
      <c r="B73">
        <v>30</v>
      </c>
      <c r="C73" t="str">
        <f>IF(Sales_Data[[#This Row],[Age]]&lt;=21,"18-21",IF(Sales_Data[[#This Row],[Age]]&lt;=25,"22-25",IF(Sales_Data[[#This Row],[Age]]&lt;=29,"26-29",IF(Sales_Data[[#This Row],[Age]]&lt;=33,"30-33","34-36"))))</f>
        <v>30-33</v>
      </c>
      <c r="D73" t="s">
        <v>13</v>
      </c>
      <c r="E73" t="s">
        <v>12</v>
      </c>
      <c r="F73" t="s">
        <v>12</v>
      </c>
      <c r="G73" t="s">
        <v>12</v>
      </c>
      <c r="H73" t="s">
        <v>20</v>
      </c>
      <c r="I73" t="s">
        <v>21</v>
      </c>
      <c r="J73">
        <v>6</v>
      </c>
      <c r="K73" t="s">
        <v>17</v>
      </c>
    </row>
    <row r="74" spans="1:11" x14ac:dyDescent="0.3">
      <c r="A74" t="s">
        <v>24</v>
      </c>
      <c r="B74">
        <v>28</v>
      </c>
      <c r="C74" t="str">
        <f>IF(Sales_Data[[#This Row],[Age]]&lt;=21,"18-21",IF(Sales_Data[[#This Row],[Age]]&lt;=25,"22-25",IF(Sales_Data[[#This Row],[Age]]&lt;=29,"26-29",IF(Sales_Data[[#This Row],[Age]]&lt;=33,"30-33","34-36"))))</f>
        <v>26-29</v>
      </c>
      <c r="D74" t="s">
        <v>13</v>
      </c>
      <c r="E74" t="s">
        <v>12</v>
      </c>
      <c r="F74" t="s">
        <v>12</v>
      </c>
      <c r="G74" t="s">
        <v>12</v>
      </c>
      <c r="H74" t="s">
        <v>23</v>
      </c>
      <c r="I74" t="s">
        <v>16</v>
      </c>
      <c r="J74">
        <v>9</v>
      </c>
      <c r="K74" t="s">
        <v>17</v>
      </c>
    </row>
    <row r="75" spans="1:11" x14ac:dyDescent="0.3">
      <c r="A75" t="s">
        <v>26</v>
      </c>
      <c r="B75">
        <v>27</v>
      </c>
      <c r="C75" t="str">
        <f>IF(Sales_Data[[#This Row],[Age]]&lt;=21,"18-21",IF(Sales_Data[[#This Row],[Age]]&lt;=25,"22-25",IF(Sales_Data[[#This Row],[Age]]&lt;=29,"26-29",IF(Sales_Data[[#This Row],[Age]]&lt;=33,"30-33","34-36"))))</f>
        <v>26-29</v>
      </c>
      <c r="D75" t="s">
        <v>13</v>
      </c>
      <c r="E75" t="s">
        <v>12</v>
      </c>
      <c r="F75" t="s">
        <v>12</v>
      </c>
      <c r="G75" t="s">
        <v>12</v>
      </c>
      <c r="H75" t="s">
        <v>15</v>
      </c>
      <c r="I75" t="s">
        <v>21</v>
      </c>
      <c r="J75">
        <v>8</v>
      </c>
      <c r="K75" t="s">
        <v>17</v>
      </c>
    </row>
    <row r="76" spans="1:11" x14ac:dyDescent="0.3">
      <c r="A76" t="s">
        <v>26</v>
      </c>
      <c r="B76">
        <v>28</v>
      </c>
      <c r="C76" t="str">
        <f>IF(Sales_Data[[#This Row],[Age]]&lt;=21,"18-21",IF(Sales_Data[[#This Row],[Age]]&lt;=25,"22-25",IF(Sales_Data[[#This Row],[Age]]&lt;=29,"26-29",IF(Sales_Data[[#This Row],[Age]]&lt;=33,"30-33","34-36"))))</f>
        <v>26-29</v>
      </c>
      <c r="D76" t="s">
        <v>13</v>
      </c>
      <c r="E76" t="s">
        <v>12</v>
      </c>
      <c r="F76" t="s">
        <v>12</v>
      </c>
      <c r="G76" t="s">
        <v>12</v>
      </c>
      <c r="H76" t="s">
        <v>15</v>
      </c>
      <c r="I76" t="s">
        <v>21</v>
      </c>
      <c r="J76">
        <v>11</v>
      </c>
      <c r="K76" t="s">
        <v>17</v>
      </c>
    </row>
    <row r="77" spans="1:11" x14ac:dyDescent="0.3">
      <c r="A77" t="s">
        <v>26</v>
      </c>
      <c r="B77">
        <v>32</v>
      </c>
      <c r="C77" t="str">
        <f>IF(Sales_Data[[#This Row],[Age]]&lt;=21,"18-21",IF(Sales_Data[[#This Row],[Age]]&lt;=25,"22-25",IF(Sales_Data[[#This Row],[Age]]&lt;=29,"26-29",IF(Sales_Data[[#This Row],[Age]]&lt;=33,"30-33","34-36"))))</f>
        <v>30-33</v>
      </c>
      <c r="D77" t="s">
        <v>13</v>
      </c>
      <c r="E77" t="s">
        <v>12</v>
      </c>
      <c r="F77" t="s">
        <v>13</v>
      </c>
      <c r="G77" t="s">
        <v>12</v>
      </c>
      <c r="H77" t="s">
        <v>20</v>
      </c>
      <c r="I77" t="s">
        <v>18</v>
      </c>
      <c r="J77">
        <v>5</v>
      </c>
      <c r="K77" t="s">
        <v>17</v>
      </c>
    </row>
    <row r="78" spans="1:11" x14ac:dyDescent="0.3">
      <c r="A78" t="s">
        <v>26</v>
      </c>
      <c r="B78">
        <v>32</v>
      </c>
      <c r="C78" t="str">
        <f>IF(Sales_Data[[#This Row],[Age]]&lt;=21,"18-21",IF(Sales_Data[[#This Row],[Age]]&lt;=25,"22-25",IF(Sales_Data[[#This Row],[Age]]&lt;=29,"26-29",IF(Sales_Data[[#This Row],[Age]]&lt;=33,"30-33","34-36"))))</f>
        <v>30-33</v>
      </c>
      <c r="D78" t="s">
        <v>13</v>
      </c>
      <c r="E78" t="s">
        <v>12</v>
      </c>
      <c r="F78" t="s">
        <v>13</v>
      </c>
      <c r="G78" t="s">
        <v>12</v>
      </c>
      <c r="H78" t="s">
        <v>23</v>
      </c>
      <c r="I78" t="s">
        <v>16</v>
      </c>
      <c r="J78">
        <v>10</v>
      </c>
      <c r="K78" t="s">
        <v>17</v>
      </c>
    </row>
    <row r="79" spans="1:11" x14ac:dyDescent="0.3">
      <c r="A79" t="s">
        <v>26</v>
      </c>
      <c r="B79">
        <v>31</v>
      </c>
      <c r="C79" t="str">
        <f>IF(Sales_Data[[#This Row],[Age]]&lt;=21,"18-21",IF(Sales_Data[[#This Row],[Age]]&lt;=25,"22-25",IF(Sales_Data[[#This Row],[Age]]&lt;=29,"26-29",IF(Sales_Data[[#This Row],[Age]]&lt;=33,"30-33","34-36"))))</f>
        <v>30-33</v>
      </c>
      <c r="D79" t="s">
        <v>13</v>
      </c>
      <c r="E79" t="s">
        <v>13</v>
      </c>
      <c r="F79" t="s">
        <v>13</v>
      </c>
      <c r="G79" t="s">
        <v>12</v>
      </c>
      <c r="H79" t="s">
        <v>15</v>
      </c>
      <c r="I79" t="s">
        <v>21</v>
      </c>
      <c r="J79">
        <v>3</v>
      </c>
      <c r="K79" t="s">
        <v>17</v>
      </c>
    </row>
    <row r="80" spans="1:11" x14ac:dyDescent="0.3">
      <c r="A80" t="s">
        <v>26</v>
      </c>
      <c r="B80">
        <v>28</v>
      </c>
      <c r="C80" t="str">
        <f>IF(Sales_Data[[#This Row],[Age]]&lt;=21,"18-21",IF(Sales_Data[[#This Row],[Age]]&lt;=25,"22-25",IF(Sales_Data[[#This Row],[Age]]&lt;=29,"26-29",IF(Sales_Data[[#This Row],[Age]]&lt;=33,"30-33","34-36"))))</f>
        <v>26-29</v>
      </c>
      <c r="D80" t="s">
        <v>13</v>
      </c>
      <c r="E80" t="s">
        <v>13</v>
      </c>
      <c r="F80" t="s">
        <v>12</v>
      </c>
      <c r="G80" t="s">
        <v>12</v>
      </c>
      <c r="H80" t="s">
        <v>15</v>
      </c>
      <c r="I80" t="s">
        <v>21</v>
      </c>
      <c r="J80">
        <v>7</v>
      </c>
      <c r="K80" t="s">
        <v>17</v>
      </c>
    </row>
    <row r="81" spans="1:11" x14ac:dyDescent="0.3">
      <c r="A81" t="s">
        <v>26</v>
      </c>
      <c r="B81">
        <v>36</v>
      </c>
      <c r="C81" t="str">
        <f>IF(Sales_Data[[#This Row],[Age]]&lt;=21,"18-21",IF(Sales_Data[[#This Row],[Age]]&lt;=25,"22-25",IF(Sales_Data[[#This Row],[Age]]&lt;=29,"26-29",IF(Sales_Data[[#This Row],[Age]]&lt;=33,"30-33","34-36"))))</f>
        <v>34-36</v>
      </c>
      <c r="D81" t="s">
        <v>13</v>
      </c>
      <c r="E81" t="s">
        <v>12</v>
      </c>
      <c r="F81" t="s">
        <v>13</v>
      </c>
      <c r="G81" t="s">
        <v>12</v>
      </c>
      <c r="H81" t="s">
        <v>23</v>
      </c>
      <c r="I81" t="s">
        <v>16</v>
      </c>
      <c r="J81">
        <v>5</v>
      </c>
      <c r="K81" t="s">
        <v>17</v>
      </c>
    </row>
    <row r="82" spans="1:11" x14ac:dyDescent="0.3">
      <c r="A82" t="s">
        <v>11</v>
      </c>
      <c r="B82">
        <v>35</v>
      </c>
      <c r="C82" t="str">
        <f>IF(Sales_Data[[#This Row],[Age]]&lt;=21,"18-21",IF(Sales_Data[[#This Row],[Age]]&lt;=25,"22-25",IF(Sales_Data[[#This Row],[Age]]&lt;=29,"26-29",IF(Sales_Data[[#This Row],[Age]]&lt;=33,"30-33","34-36"))))</f>
        <v>34-36</v>
      </c>
      <c r="D82" t="s">
        <v>13</v>
      </c>
      <c r="E82" t="s">
        <v>13</v>
      </c>
      <c r="F82" t="s">
        <v>12</v>
      </c>
      <c r="G82" t="s">
        <v>12</v>
      </c>
      <c r="H82" t="s">
        <v>20</v>
      </c>
      <c r="I82" t="s">
        <v>21</v>
      </c>
      <c r="J82">
        <v>11</v>
      </c>
      <c r="K82" t="s">
        <v>17</v>
      </c>
    </row>
    <row r="83" spans="1:11" x14ac:dyDescent="0.3">
      <c r="A83" t="s">
        <v>26</v>
      </c>
      <c r="B83">
        <v>33</v>
      </c>
      <c r="C83" t="str">
        <f>IF(Sales_Data[[#This Row],[Age]]&lt;=21,"18-21",IF(Sales_Data[[#This Row],[Age]]&lt;=25,"22-25",IF(Sales_Data[[#This Row],[Age]]&lt;=29,"26-29",IF(Sales_Data[[#This Row],[Age]]&lt;=33,"30-33","34-36"))))</f>
        <v>30-33</v>
      </c>
      <c r="D83" t="s">
        <v>13</v>
      </c>
      <c r="E83" t="s">
        <v>13</v>
      </c>
      <c r="F83" t="s">
        <v>13</v>
      </c>
      <c r="G83" t="s">
        <v>12</v>
      </c>
      <c r="H83" t="s">
        <v>15</v>
      </c>
      <c r="I83" t="s">
        <v>16</v>
      </c>
      <c r="J83">
        <v>3</v>
      </c>
      <c r="K83" t="s">
        <v>17</v>
      </c>
    </row>
    <row r="84" spans="1:11" x14ac:dyDescent="0.3">
      <c r="A84" t="s">
        <v>11</v>
      </c>
      <c r="B84">
        <v>35</v>
      </c>
      <c r="C84" t="str">
        <f>IF(Sales_Data[[#This Row],[Age]]&lt;=21,"18-21",IF(Sales_Data[[#This Row],[Age]]&lt;=25,"22-25",IF(Sales_Data[[#This Row],[Age]]&lt;=29,"26-29",IF(Sales_Data[[#This Row],[Age]]&lt;=33,"30-33","34-36"))))</f>
        <v>34-36</v>
      </c>
      <c r="D84" t="s">
        <v>13</v>
      </c>
      <c r="E84" t="s">
        <v>12</v>
      </c>
      <c r="F84" t="s">
        <v>12</v>
      </c>
      <c r="G84" t="s">
        <v>12</v>
      </c>
      <c r="H84" t="s">
        <v>23</v>
      </c>
      <c r="I84" t="s">
        <v>21</v>
      </c>
      <c r="J84">
        <v>3</v>
      </c>
      <c r="K84" t="s">
        <v>17</v>
      </c>
    </row>
    <row r="85" spans="1:11" x14ac:dyDescent="0.3">
      <c r="A85" t="s">
        <v>11</v>
      </c>
      <c r="B85">
        <v>33</v>
      </c>
      <c r="C85" t="str">
        <f>IF(Sales_Data[[#This Row],[Age]]&lt;=21,"18-21",IF(Sales_Data[[#This Row],[Age]]&lt;=25,"22-25",IF(Sales_Data[[#This Row],[Age]]&lt;=29,"26-29",IF(Sales_Data[[#This Row],[Age]]&lt;=33,"30-33","34-36"))))</f>
        <v>30-33</v>
      </c>
      <c r="D85" t="s">
        <v>13</v>
      </c>
      <c r="E85" t="s">
        <v>13</v>
      </c>
      <c r="F85" t="s">
        <v>13</v>
      </c>
      <c r="G85" t="s">
        <v>12</v>
      </c>
      <c r="H85" t="s">
        <v>20</v>
      </c>
      <c r="I85" t="s">
        <v>21</v>
      </c>
      <c r="J85">
        <v>5</v>
      </c>
      <c r="K85" t="s">
        <v>17</v>
      </c>
    </row>
    <row r="86" spans="1:11" x14ac:dyDescent="0.3">
      <c r="A86" t="s">
        <v>11</v>
      </c>
      <c r="B86">
        <v>32</v>
      </c>
      <c r="C86" t="str">
        <f>IF(Sales_Data[[#This Row],[Age]]&lt;=21,"18-21",IF(Sales_Data[[#This Row],[Age]]&lt;=25,"22-25",IF(Sales_Data[[#This Row],[Age]]&lt;=29,"26-29",IF(Sales_Data[[#This Row],[Age]]&lt;=33,"30-33","34-36"))))</f>
        <v>30-33</v>
      </c>
      <c r="D86" t="s">
        <v>13</v>
      </c>
      <c r="E86" t="s">
        <v>12</v>
      </c>
      <c r="F86" t="s">
        <v>12</v>
      </c>
      <c r="G86" t="s">
        <v>12</v>
      </c>
      <c r="H86" t="s">
        <v>20</v>
      </c>
      <c r="I86" t="s">
        <v>18</v>
      </c>
      <c r="J86">
        <v>1</v>
      </c>
      <c r="K86" t="s">
        <v>19</v>
      </c>
    </row>
    <row r="87" spans="1:11" x14ac:dyDescent="0.3">
      <c r="A87" t="s">
        <v>11</v>
      </c>
      <c r="B87">
        <v>34</v>
      </c>
      <c r="C87" t="str">
        <f>IF(Sales_Data[[#This Row],[Age]]&lt;=21,"18-21",IF(Sales_Data[[#This Row],[Age]]&lt;=25,"22-25",IF(Sales_Data[[#This Row],[Age]]&lt;=29,"26-29",IF(Sales_Data[[#This Row],[Age]]&lt;=33,"30-33","34-36"))))</f>
        <v>34-36</v>
      </c>
      <c r="D87" t="s">
        <v>13</v>
      </c>
      <c r="E87" t="s">
        <v>13</v>
      </c>
      <c r="F87" t="s">
        <v>12</v>
      </c>
      <c r="G87" t="s">
        <v>14</v>
      </c>
      <c r="H87" t="s">
        <v>23</v>
      </c>
      <c r="I87" t="s">
        <v>18</v>
      </c>
      <c r="J87">
        <v>6</v>
      </c>
      <c r="K87" t="s">
        <v>17</v>
      </c>
    </row>
    <row r="88" spans="1:11" x14ac:dyDescent="0.3">
      <c r="A88" t="s">
        <v>11</v>
      </c>
      <c r="B88">
        <v>32</v>
      </c>
      <c r="C88" t="str">
        <f>IF(Sales_Data[[#This Row],[Age]]&lt;=21,"18-21",IF(Sales_Data[[#This Row],[Age]]&lt;=25,"22-25",IF(Sales_Data[[#This Row],[Age]]&lt;=29,"26-29",IF(Sales_Data[[#This Row],[Age]]&lt;=33,"30-33","34-36"))))</f>
        <v>30-33</v>
      </c>
      <c r="D88" t="s">
        <v>13</v>
      </c>
      <c r="E88" t="s">
        <v>13</v>
      </c>
      <c r="F88" t="s">
        <v>13</v>
      </c>
      <c r="G88" t="s">
        <v>14</v>
      </c>
      <c r="H88" t="s">
        <v>23</v>
      </c>
      <c r="I88" t="s">
        <v>18</v>
      </c>
      <c r="J88">
        <v>5</v>
      </c>
      <c r="K88" t="s">
        <v>17</v>
      </c>
    </row>
    <row r="89" spans="1:11" x14ac:dyDescent="0.3">
      <c r="A89" t="s">
        <v>11</v>
      </c>
      <c r="B89">
        <v>32</v>
      </c>
      <c r="C89" t="str">
        <f>IF(Sales_Data[[#This Row],[Age]]&lt;=21,"18-21",IF(Sales_Data[[#This Row],[Age]]&lt;=25,"22-25",IF(Sales_Data[[#This Row],[Age]]&lt;=29,"26-29",IF(Sales_Data[[#This Row],[Age]]&lt;=33,"30-33","34-36"))))</f>
        <v>30-33</v>
      </c>
      <c r="D89" t="s">
        <v>13</v>
      </c>
      <c r="E89" t="s">
        <v>13</v>
      </c>
      <c r="F89" t="s">
        <v>13</v>
      </c>
      <c r="G89" t="s">
        <v>12</v>
      </c>
      <c r="H89" t="s">
        <v>15</v>
      </c>
      <c r="I89" t="s">
        <v>18</v>
      </c>
      <c r="J89">
        <v>5</v>
      </c>
      <c r="K89" t="s">
        <v>17</v>
      </c>
    </row>
    <row r="90" spans="1:11" x14ac:dyDescent="0.3">
      <c r="A90" t="s">
        <v>11</v>
      </c>
      <c r="B90">
        <v>33</v>
      </c>
      <c r="C90" t="str">
        <f>IF(Sales_Data[[#This Row],[Age]]&lt;=21,"18-21",IF(Sales_Data[[#This Row],[Age]]&lt;=25,"22-25",IF(Sales_Data[[#This Row],[Age]]&lt;=29,"26-29",IF(Sales_Data[[#This Row],[Age]]&lt;=33,"30-33","34-36"))))</f>
        <v>30-33</v>
      </c>
      <c r="D90" t="s">
        <v>13</v>
      </c>
      <c r="E90" t="s">
        <v>13</v>
      </c>
      <c r="F90" t="s">
        <v>13</v>
      </c>
      <c r="G90" t="s">
        <v>14</v>
      </c>
      <c r="H90" t="s">
        <v>20</v>
      </c>
      <c r="I90" t="s">
        <v>21</v>
      </c>
      <c r="J90">
        <v>6</v>
      </c>
      <c r="K90" t="s">
        <v>17</v>
      </c>
    </row>
    <row r="91" spans="1:11" x14ac:dyDescent="0.3">
      <c r="A91" t="s">
        <v>11</v>
      </c>
      <c r="B91">
        <v>33</v>
      </c>
      <c r="C91" t="str">
        <f>IF(Sales_Data[[#This Row],[Age]]&lt;=21,"18-21",IF(Sales_Data[[#This Row],[Age]]&lt;=25,"22-25",IF(Sales_Data[[#This Row],[Age]]&lt;=29,"26-29",IF(Sales_Data[[#This Row],[Age]]&lt;=33,"30-33","34-36"))))</f>
        <v>30-33</v>
      </c>
      <c r="D91" t="s">
        <v>13</v>
      </c>
      <c r="E91" t="s">
        <v>13</v>
      </c>
      <c r="F91" t="s">
        <v>13</v>
      </c>
      <c r="G91" t="s">
        <v>14</v>
      </c>
      <c r="H91" t="s">
        <v>20</v>
      </c>
      <c r="I91" t="s">
        <v>18</v>
      </c>
      <c r="J91">
        <v>7</v>
      </c>
      <c r="K91" t="s">
        <v>17</v>
      </c>
    </row>
    <row r="92" spans="1:11" x14ac:dyDescent="0.3">
      <c r="A92" t="s">
        <v>11</v>
      </c>
      <c r="B92">
        <v>33</v>
      </c>
      <c r="C92" t="str">
        <f>IF(Sales_Data[[#This Row],[Age]]&lt;=21,"18-21",IF(Sales_Data[[#This Row],[Age]]&lt;=25,"22-25",IF(Sales_Data[[#This Row],[Age]]&lt;=29,"26-29",IF(Sales_Data[[#This Row],[Age]]&lt;=33,"30-33","34-36"))))</f>
        <v>30-33</v>
      </c>
      <c r="D92" t="s">
        <v>13</v>
      </c>
      <c r="E92" t="s">
        <v>13</v>
      </c>
      <c r="F92" t="s">
        <v>13</v>
      </c>
      <c r="G92" t="s">
        <v>12</v>
      </c>
      <c r="H92" t="s">
        <v>15</v>
      </c>
      <c r="I92" t="s">
        <v>21</v>
      </c>
      <c r="J92">
        <v>7</v>
      </c>
      <c r="K92" t="s">
        <v>17</v>
      </c>
    </row>
    <row r="93" spans="1:11" x14ac:dyDescent="0.3">
      <c r="A93" t="s">
        <v>28</v>
      </c>
      <c r="B93">
        <v>32</v>
      </c>
      <c r="C93" t="str">
        <f>IF(Sales_Data[[#This Row],[Age]]&lt;=21,"18-21",IF(Sales_Data[[#This Row],[Age]]&lt;=25,"22-25",IF(Sales_Data[[#This Row],[Age]]&lt;=29,"26-29",IF(Sales_Data[[#This Row],[Age]]&lt;=33,"30-33","34-36"))))</f>
        <v>30-33</v>
      </c>
      <c r="D93" t="s">
        <v>13</v>
      </c>
      <c r="E93" t="s">
        <v>12</v>
      </c>
      <c r="F93" t="s">
        <v>12</v>
      </c>
      <c r="G93" t="s">
        <v>14</v>
      </c>
      <c r="H93" t="s">
        <v>20</v>
      </c>
      <c r="I93" t="s">
        <v>18</v>
      </c>
      <c r="J93">
        <v>1</v>
      </c>
      <c r="K93" t="s">
        <v>17</v>
      </c>
    </row>
    <row r="94" spans="1:11" x14ac:dyDescent="0.3">
      <c r="A94" t="s">
        <v>28</v>
      </c>
      <c r="B94">
        <v>32</v>
      </c>
      <c r="C94" t="str">
        <f>IF(Sales_Data[[#This Row],[Age]]&lt;=21,"18-21",IF(Sales_Data[[#This Row],[Age]]&lt;=25,"22-25",IF(Sales_Data[[#This Row],[Age]]&lt;=29,"26-29",IF(Sales_Data[[#This Row],[Age]]&lt;=33,"30-33","34-36"))))</f>
        <v>30-33</v>
      </c>
      <c r="D94" t="s">
        <v>13</v>
      </c>
      <c r="E94" t="s">
        <v>13</v>
      </c>
      <c r="F94" t="s">
        <v>12</v>
      </c>
      <c r="G94" t="s">
        <v>14</v>
      </c>
      <c r="H94" t="s">
        <v>15</v>
      </c>
      <c r="I94" t="s">
        <v>21</v>
      </c>
      <c r="J94">
        <v>7</v>
      </c>
      <c r="K94" t="s">
        <v>17</v>
      </c>
    </row>
    <row r="95" spans="1:11" x14ac:dyDescent="0.3">
      <c r="A95" t="s">
        <v>28</v>
      </c>
      <c r="B95">
        <v>32</v>
      </c>
      <c r="C95" t="str">
        <f>IF(Sales_Data[[#This Row],[Age]]&lt;=21,"18-21",IF(Sales_Data[[#This Row],[Age]]&lt;=25,"22-25",IF(Sales_Data[[#This Row],[Age]]&lt;=29,"26-29",IF(Sales_Data[[#This Row],[Age]]&lt;=33,"30-33","34-36"))))</f>
        <v>30-33</v>
      </c>
      <c r="D95" t="s">
        <v>13</v>
      </c>
      <c r="E95" t="s">
        <v>12</v>
      </c>
      <c r="F95" t="s">
        <v>13</v>
      </c>
      <c r="G95" t="s">
        <v>14</v>
      </c>
      <c r="H95" t="s">
        <v>15</v>
      </c>
      <c r="I95" t="s">
        <v>21</v>
      </c>
      <c r="J95">
        <v>8</v>
      </c>
      <c r="K95" t="s">
        <v>19</v>
      </c>
    </row>
    <row r="96" spans="1:11" x14ac:dyDescent="0.3">
      <c r="A96" t="s">
        <v>24</v>
      </c>
      <c r="B96">
        <v>28</v>
      </c>
      <c r="C96" t="str">
        <f>IF(Sales_Data[[#This Row],[Age]]&lt;=21,"18-21",IF(Sales_Data[[#This Row],[Age]]&lt;=25,"22-25",IF(Sales_Data[[#This Row],[Age]]&lt;=29,"26-29",IF(Sales_Data[[#This Row],[Age]]&lt;=33,"30-33","34-36"))))</f>
        <v>26-29</v>
      </c>
      <c r="D96" t="s">
        <v>13</v>
      </c>
      <c r="E96" t="s">
        <v>12</v>
      </c>
      <c r="F96" t="s">
        <v>12</v>
      </c>
      <c r="G96" t="s">
        <v>14</v>
      </c>
      <c r="H96" t="s">
        <v>23</v>
      </c>
      <c r="I96" t="s">
        <v>18</v>
      </c>
      <c r="J96">
        <v>9</v>
      </c>
      <c r="K96" t="s">
        <v>17</v>
      </c>
    </row>
    <row r="97" spans="1:11" x14ac:dyDescent="0.3">
      <c r="A97" t="s">
        <v>26</v>
      </c>
      <c r="B97">
        <v>30</v>
      </c>
      <c r="C97" t="str">
        <f>IF(Sales_Data[[#This Row],[Age]]&lt;=21,"18-21",IF(Sales_Data[[#This Row],[Age]]&lt;=25,"22-25",IF(Sales_Data[[#This Row],[Age]]&lt;=29,"26-29",IF(Sales_Data[[#This Row],[Age]]&lt;=33,"30-33","34-36"))))</f>
        <v>30-33</v>
      </c>
      <c r="D97" t="s">
        <v>13</v>
      </c>
      <c r="E97" t="s">
        <v>12</v>
      </c>
      <c r="F97" t="s">
        <v>12</v>
      </c>
      <c r="G97" t="s">
        <v>14</v>
      </c>
      <c r="H97" t="s">
        <v>20</v>
      </c>
      <c r="I97" t="s">
        <v>21</v>
      </c>
      <c r="J97">
        <v>9</v>
      </c>
      <c r="K97" t="s">
        <v>17</v>
      </c>
    </row>
    <row r="98" spans="1:11" x14ac:dyDescent="0.3">
      <c r="A98" t="s">
        <v>26</v>
      </c>
      <c r="B98">
        <v>29</v>
      </c>
      <c r="C98" t="str">
        <f>IF(Sales_Data[[#This Row],[Age]]&lt;=21,"18-21",IF(Sales_Data[[#This Row],[Age]]&lt;=25,"22-25",IF(Sales_Data[[#This Row],[Age]]&lt;=29,"26-29",IF(Sales_Data[[#This Row],[Age]]&lt;=33,"30-33","34-36"))))</f>
        <v>26-29</v>
      </c>
      <c r="D98" t="s">
        <v>13</v>
      </c>
      <c r="E98" t="s">
        <v>12</v>
      </c>
      <c r="F98" t="s">
        <v>12</v>
      </c>
      <c r="G98" t="s">
        <v>14</v>
      </c>
      <c r="H98" t="s">
        <v>15</v>
      </c>
      <c r="I98" t="s">
        <v>16</v>
      </c>
      <c r="J98">
        <v>9</v>
      </c>
      <c r="K98" t="s">
        <v>17</v>
      </c>
    </row>
    <row r="99" spans="1:11" x14ac:dyDescent="0.3">
      <c r="A99" t="s">
        <v>26</v>
      </c>
      <c r="B99">
        <v>30</v>
      </c>
      <c r="C99" t="str">
        <f>IF(Sales_Data[[#This Row],[Age]]&lt;=21,"18-21",IF(Sales_Data[[#This Row],[Age]]&lt;=25,"22-25",IF(Sales_Data[[#This Row],[Age]]&lt;=29,"26-29",IF(Sales_Data[[#This Row],[Age]]&lt;=33,"30-33","34-36"))))</f>
        <v>30-33</v>
      </c>
      <c r="D99" t="s">
        <v>13</v>
      </c>
      <c r="E99" t="s">
        <v>13</v>
      </c>
      <c r="F99" t="s">
        <v>13</v>
      </c>
      <c r="G99" t="s">
        <v>14</v>
      </c>
      <c r="H99" t="s">
        <v>20</v>
      </c>
      <c r="I99" t="s">
        <v>21</v>
      </c>
      <c r="J99">
        <v>6</v>
      </c>
      <c r="K99" t="s">
        <v>17</v>
      </c>
    </row>
    <row r="100" spans="1:11" x14ac:dyDescent="0.3">
      <c r="A100" t="s">
        <v>26</v>
      </c>
      <c r="B100">
        <v>30</v>
      </c>
      <c r="C100" t="str">
        <f>IF(Sales_Data[[#This Row],[Age]]&lt;=21,"18-21",IF(Sales_Data[[#This Row],[Age]]&lt;=25,"22-25",IF(Sales_Data[[#This Row],[Age]]&lt;=29,"26-29",IF(Sales_Data[[#This Row],[Age]]&lt;=33,"30-33","34-36"))))</f>
        <v>30-33</v>
      </c>
      <c r="D100" t="s">
        <v>13</v>
      </c>
      <c r="E100" t="s">
        <v>12</v>
      </c>
      <c r="F100" t="s">
        <v>13</v>
      </c>
      <c r="G100" t="s">
        <v>14</v>
      </c>
      <c r="H100" t="s">
        <v>20</v>
      </c>
      <c r="I100" t="s">
        <v>16</v>
      </c>
      <c r="J100">
        <v>3</v>
      </c>
      <c r="K100" t="s">
        <v>17</v>
      </c>
    </row>
    <row r="101" spans="1:11" x14ac:dyDescent="0.3">
      <c r="A101" t="s">
        <v>26</v>
      </c>
      <c r="B101">
        <v>30</v>
      </c>
      <c r="C101" t="str">
        <f>IF(Sales_Data[[#This Row],[Age]]&lt;=21,"18-21",IF(Sales_Data[[#This Row],[Age]]&lt;=25,"22-25",IF(Sales_Data[[#This Row],[Age]]&lt;=29,"26-29",IF(Sales_Data[[#This Row],[Age]]&lt;=33,"30-33","34-36"))))</f>
        <v>30-33</v>
      </c>
      <c r="D101" t="s">
        <v>12</v>
      </c>
      <c r="E101" t="s">
        <v>13</v>
      </c>
      <c r="F101" t="s">
        <v>13</v>
      </c>
      <c r="G101" t="s">
        <v>14</v>
      </c>
      <c r="H101" t="s">
        <v>23</v>
      </c>
      <c r="I101" t="s">
        <v>21</v>
      </c>
      <c r="J101">
        <v>3</v>
      </c>
      <c r="K1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C65"/>
  <sheetViews>
    <sheetView topLeftCell="G27" zoomScale="43" zoomScaleNormal="36" workbookViewId="0">
      <selection activeCell="U75" sqref="U75"/>
    </sheetView>
  </sheetViews>
  <sheetFormatPr defaultRowHeight="14.4" x14ac:dyDescent="0.3"/>
  <cols>
    <col min="1" max="1" width="25.88671875" customWidth="1"/>
    <col min="2" max="3" width="20" customWidth="1"/>
    <col min="4" max="4" width="17.109375" customWidth="1"/>
    <col min="5" max="5" width="27.5546875" bestFit="1" customWidth="1"/>
    <col min="6" max="6" width="52.109375" customWidth="1"/>
    <col min="7" max="8" width="20" customWidth="1"/>
    <col min="9" max="9" width="17.109375" customWidth="1"/>
    <col min="10" max="10" width="14.88671875" customWidth="1"/>
    <col min="11" max="11" width="42.77734375" customWidth="1"/>
    <col min="12" max="13" width="20" customWidth="1"/>
    <col min="14" max="15" width="17.109375" customWidth="1"/>
    <col min="16" max="16" width="29.6640625" customWidth="1"/>
    <col min="17" max="17" width="56" customWidth="1"/>
    <col min="18" max="19" width="20" customWidth="1"/>
    <col min="20" max="20" width="17.109375" customWidth="1"/>
    <col min="21" max="21" width="35.77734375" customWidth="1"/>
    <col min="22" max="23" width="20" customWidth="1"/>
    <col min="24" max="24" width="17.109375" customWidth="1"/>
    <col min="26" max="26" width="42.77734375" customWidth="1"/>
    <col min="27" max="28" width="20" customWidth="1"/>
    <col min="29" max="29" width="17.109375" customWidth="1"/>
  </cols>
  <sheetData>
    <row r="3" spans="1:29" x14ac:dyDescent="0.3">
      <c r="A3" s="1" t="s">
        <v>29</v>
      </c>
      <c r="B3" s="1" t="s">
        <v>10</v>
      </c>
      <c r="F3" s="1" t="s">
        <v>29</v>
      </c>
      <c r="G3" s="1" t="s">
        <v>10</v>
      </c>
      <c r="K3" s="1" t="s">
        <v>29</v>
      </c>
      <c r="L3" s="1" t="s">
        <v>10</v>
      </c>
      <c r="P3" s="1" t="s">
        <v>29</v>
      </c>
      <c r="Q3" s="1" t="s">
        <v>10</v>
      </c>
      <c r="U3" s="1" t="s">
        <v>29</v>
      </c>
      <c r="V3" s="1" t="s">
        <v>10</v>
      </c>
      <c r="Z3" s="1" t="s">
        <v>29</v>
      </c>
      <c r="AA3" s="1" t="s">
        <v>10</v>
      </c>
    </row>
    <row r="4" spans="1:29" x14ac:dyDescent="0.3">
      <c r="A4" s="1" t="s">
        <v>8</v>
      </c>
      <c r="B4" t="s">
        <v>19</v>
      </c>
      <c r="C4" t="s">
        <v>17</v>
      </c>
      <c r="D4" t="s">
        <v>30</v>
      </c>
      <c r="F4" s="1" t="s">
        <v>7</v>
      </c>
      <c r="G4" t="s">
        <v>19</v>
      </c>
      <c r="H4" t="s">
        <v>17</v>
      </c>
      <c r="I4" t="s">
        <v>30</v>
      </c>
      <c r="K4" s="1" t="s">
        <v>6</v>
      </c>
      <c r="L4" t="s">
        <v>19</v>
      </c>
      <c r="M4" t="s">
        <v>17</v>
      </c>
      <c r="N4" t="s">
        <v>30</v>
      </c>
      <c r="P4" s="1" t="s">
        <v>3</v>
      </c>
      <c r="Q4" t="s">
        <v>19</v>
      </c>
      <c r="R4" t="s">
        <v>17</v>
      </c>
      <c r="S4" t="s">
        <v>30</v>
      </c>
      <c r="U4" s="1" t="s">
        <v>5</v>
      </c>
      <c r="V4" t="s">
        <v>19</v>
      </c>
      <c r="W4" t="s">
        <v>17</v>
      </c>
      <c r="X4" t="s">
        <v>30</v>
      </c>
      <c r="Z4" s="1" t="s">
        <v>4</v>
      </c>
      <c r="AA4" t="s">
        <v>19</v>
      </c>
      <c r="AB4" t="s">
        <v>17</v>
      </c>
      <c r="AC4" t="s">
        <v>30</v>
      </c>
    </row>
    <row r="5" spans="1:29" x14ac:dyDescent="0.3">
      <c r="A5" t="s">
        <v>18</v>
      </c>
      <c r="B5" s="3">
        <v>3</v>
      </c>
      <c r="C5" s="3">
        <v>18</v>
      </c>
      <c r="D5" s="3">
        <v>21</v>
      </c>
      <c r="F5" t="s">
        <v>27</v>
      </c>
      <c r="G5" s="3"/>
      <c r="H5" s="3">
        <v>1</v>
      </c>
      <c r="I5" s="3">
        <v>1</v>
      </c>
      <c r="K5" t="s">
        <v>22</v>
      </c>
      <c r="L5" s="3">
        <v>2</v>
      </c>
      <c r="M5" s="3">
        <v>7</v>
      </c>
      <c r="N5" s="3">
        <v>9</v>
      </c>
      <c r="P5" t="s">
        <v>12</v>
      </c>
      <c r="Q5" s="3">
        <v>2</v>
      </c>
      <c r="R5" s="3">
        <v>11</v>
      </c>
      <c r="S5" s="3">
        <v>13</v>
      </c>
      <c r="U5" t="s">
        <v>12</v>
      </c>
      <c r="V5" s="3">
        <v>5</v>
      </c>
      <c r="W5" s="3">
        <v>44</v>
      </c>
      <c r="X5" s="3">
        <v>49</v>
      </c>
      <c r="Z5" t="s">
        <v>12</v>
      </c>
      <c r="AA5" s="3">
        <v>9</v>
      </c>
      <c r="AB5" s="3">
        <v>47</v>
      </c>
      <c r="AC5" s="3">
        <v>56</v>
      </c>
    </row>
    <row r="6" spans="1:29" x14ac:dyDescent="0.3">
      <c r="A6" t="s">
        <v>21</v>
      </c>
      <c r="B6" s="3">
        <v>6</v>
      </c>
      <c r="C6" s="3">
        <v>50</v>
      </c>
      <c r="D6" s="3">
        <v>56</v>
      </c>
      <c r="F6" t="s">
        <v>20</v>
      </c>
      <c r="G6" s="3">
        <v>2</v>
      </c>
      <c r="H6" s="3">
        <v>38</v>
      </c>
      <c r="I6" s="3">
        <v>40</v>
      </c>
      <c r="K6" t="s">
        <v>14</v>
      </c>
      <c r="L6" s="3">
        <v>8</v>
      </c>
      <c r="M6" s="3">
        <v>55</v>
      </c>
      <c r="N6" s="3">
        <v>63</v>
      </c>
      <c r="P6" t="s">
        <v>13</v>
      </c>
      <c r="Q6" s="3">
        <v>10</v>
      </c>
      <c r="R6" s="3">
        <v>77</v>
      </c>
      <c r="S6" s="3">
        <v>87</v>
      </c>
      <c r="U6" t="s">
        <v>13</v>
      </c>
      <c r="V6" s="3">
        <v>7</v>
      </c>
      <c r="W6" s="3">
        <v>44</v>
      </c>
      <c r="X6" s="3">
        <v>51</v>
      </c>
      <c r="Z6" t="s">
        <v>13</v>
      </c>
      <c r="AA6" s="3">
        <v>3</v>
      </c>
      <c r="AB6" s="3">
        <v>41</v>
      </c>
      <c r="AC6" s="3">
        <v>44</v>
      </c>
    </row>
    <row r="7" spans="1:29" x14ac:dyDescent="0.3">
      <c r="A7" t="s">
        <v>16</v>
      </c>
      <c r="B7" s="3">
        <v>3</v>
      </c>
      <c r="C7" s="3">
        <v>20</v>
      </c>
      <c r="D7" s="3">
        <v>23</v>
      </c>
      <c r="F7" t="s">
        <v>15</v>
      </c>
      <c r="G7" s="3">
        <v>6</v>
      </c>
      <c r="H7" s="3">
        <v>33</v>
      </c>
      <c r="I7" s="3">
        <v>39</v>
      </c>
      <c r="K7" t="s">
        <v>12</v>
      </c>
      <c r="L7" s="3">
        <v>2</v>
      </c>
      <c r="M7" s="3">
        <v>26</v>
      </c>
      <c r="N7" s="3">
        <v>28</v>
      </c>
      <c r="P7" t="s">
        <v>30</v>
      </c>
      <c r="Q7" s="3">
        <v>12</v>
      </c>
      <c r="R7" s="3">
        <v>88</v>
      </c>
      <c r="S7" s="3">
        <v>100</v>
      </c>
      <c r="U7" t="s">
        <v>30</v>
      </c>
      <c r="V7" s="3">
        <v>12</v>
      </c>
      <c r="W7" s="3">
        <v>88</v>
      </c>
      <c r="X7" s="3">
        <v>100</v>
      </c>
      <c r="Z7" t="s">
        <v>30</v>
      </c>
      <c r="AA7" s="3">
        <v>12</v>
      </c>
      <c r="AB7" s="3">
        <v>88</v>
      </c>
      <c r="AC7" s="3">
        <v>100</v>
      </c>
    </row>
    <row r="8" spans="1:29" x14ac:dyDescent="0.3">
      <c r="A8" t="s">
        <v>30</v>
      </c>
      <c r="B8" s="3">
        <v>12</v>
      </c>
      <c r="C8" s="3">
        <v>88</v>
      </c>
      <c r="D8" s="3">
        <v>100</v>
      </c>
      <c r="F8" t="s">
        <v>25</v>
      </c>
      <c r="G8" s="3"/>
      <c r="H8" s="3">
        <v>1</v>
      </c>
      <c r="I8" s="3">
        <v>1</v>
      </c>
      <c r="K8" t="s">
        <v>30</v>
      </c>
      <c r="L8" s="3">
        <v>12</v>
      </c>
      <c r="M8" s="3">
        <v>88</v>
      </c>
      <c r="N8" s="3">
        <v>100</v>
      </c>
    </row>
    <row r="9" spans="1:29" x14ac:dyDescent="0.3">
      <c r="F9" t="s">
        <v>23</v>
      </c>
      <c r="G9" s="3">
        <v>4</v>
      </c>
      <c r="H9" s="3">
        <v>15</v>
      </c>
      <c r="I9" s="3">
        <v>19</v>
      </c>
    </row>
    <row r="10" spans="1:29" x14ac:dyDescent="0.3">
      <c r="F10" t="s">
        <v>30</v>
      </c>
      <c r="G10" s="3">
        <v>12</v>
      </c>
      <c r="H10" s="3">
        <v>88</v>
      </c>
      <c r="I10" s="3">
        <v>100</v>
      </c>
    </row>
    <row r="30" spans="1:20" x14ac:dyDescent="0.3">
      <c r="A30" s="1" t="s">
        <v>29</v>
      </c>
      <c r="B30" s="1" t="s">
        <v>10</v>
      </c>
      <c r="F30" s="1" t="s">
        <v>29</v>
      </c>
      <c r="G30" s="1" t="s">
        <v>10</v>
      </c>
      <c r="L30" s="1" t="s">
        <v>29</v>
      </c>
      <c r="M30" s="1" t="s">
        <v>10</v>
      </c>
      <c r="Q30" s="1" t="s">
        <v>29</v>
      </c>
      <c r="R30" s="1" t="s">
        <v>10</v>
      </c>
    </row>
    <row r="31" spans="1:20" x14ac:dyDescent="0.3">
      <c r="A31" s="1" t="s">
        <v>1</v>
      </c>
      <c r="B31" t="s">
        <v>19</v>
      </c>
      <c r="C31" t="s">
        <v>17</v>
      </c>
      <c r="D31" t="s">
        <v>30</v>
      </c>
      <c r="F31" s="1" t="s">
        <v>0</v>
      </c>
      <c r="G31" t="s">
        <v>19</v>
      </c>
      <c r="H31" t="s">
        <v>17</v>
      </c>
      <c r="I31" t="s">
        <v>30</v>
      </c>
      <c r="L31" s="1" t="s">
        <v>2</v>
      </c>
      <c r="M31" t="s">
        <v>19</v>
      </c>
      <c r="N31" t="s">
        <v>17</v>
      </c>
      <c r="O31" t="s">
        <v>30</v>
      </c>
      <c r="Q31" s="1" t="s">
        <v>9</v>
      </c>
      <c r="R31" t="s">
        <v>19</v>
      </c>
      <c r="S31" t="s">
        <v>17</v>
      </c>
      <c r="T31" t="s">
        <v>30</v>
      </c>
    </row>
    <row r="32" spans="1:20" x14ac:dyDescent="0.3">
      <c r="A32">
        <v>27</v>
      </c>
      <c r="B32" s="3">
        <v>1</v>
      </c>
      <c r="C32" s="3">
        <v>6</v>
      </c>
      <c r="D32" s="3">
        <v>7</v>
      </c>
      <c r="F32" t="s">
        <v>24</v>
      </c>
      <c r="G32" s="4">
        <v>0.19354838709677419</v>
      </c>
      <c r="H32" s="4">
        <v>0.80645161290322576</v>
      </c>
      <c r="I32" s="4">
        <v>1</v>
      </c>
      <c r="L32" t="s">
        <v>31</v>
      </c>
      <c r="M32" s="4">
        <v>2.5000000000000001E-2</v>
      </c>
      <c r="N32" s="4">
        <v>0.97499999999999998</v>
      </c>
      <c r="O32" s="4">
        <v>1</v>
      </c>
      <c r="Q32" t="s">
        <v>34</v>
      </c>
      <c r="R32" s="4">
        <v>7.6923076923076927E-2</v>
      </c>
      <c r="S32" s="4">
        <v>0.92307692307692313</v>
      </c>
      <c r="T32" s="4">
        <v>1</v>
      </c>
    </row>
    <row r="33" spans="1:20" x14ac:dyDescent="0.3">
      <c r="A33">
        <v>28</v>
      </c>
      <c r="B33" s="3"/>
      <c r="C33" s="3">
        <v>28</v>
      </c>
      <c r="D33" s="3">
        <v>28</v>
      </c>
      <c r="F33" t="s">
        <v>11</v>
      </c>
      <c r="G33" s="4">
        <v>0.10810810810810811</v>
      </c>
      <c r="H33" s="4">
        <v>0.89189189189189189</v>
      </c>
      <c r="I33" s="4">
        <v>1</v>
      </c>
      <c r="L33" t="s">
        <v>32</v>
      </c>
      <c r="M33" s="4">
        <v>0.18867924528301888</v>
      </c>
      <c r="N33" s="4">
        <v>0.81132075471698117</v>
      </c>
      <c r="O33" s="4">
        <v>1</v>
      </c>
      <c r="Q33" t="s">
        <v>35</v>
      </c>
      <c r="R33" s="4">
        <v>7.1428571428571425E-2</v>
      </c>
      <c r="S33" s="4">
        <v>0.9285714285714286</v>
      </c>
      <c r="T33" s="4">
        <v>1</v>
      </c>
    </row>
    <row r="34" spans="1:20" x14ac:dyDescent="0.3">
      <c r="A34">
        <v>29</v>
      </c>
      <c r="B34" s="3"/>
      <c r="C34" s="3">
        <v>5</v>
      </c>
      <c r="D34" s="3">
        <v>5</v>
      </c>
      <c r="F34" t="s">
        <v>28</v>
      </c>
      <c r="G34" s="4">
        <v>0.25</v>
      </c>
      <c r="H34" s="4">
        <v>0.75</v>
      </c>
      <c r="I34" s="4">
        <v>1</v>
      </c>
      <c r="L34" t="s">
        <v>33</v>
      </c>
      <c r="M34" s="4">
        <v>0.14285714285714285</v>
      </c>
      <c r="N34" s="4">
        <v>0.8571428571428571</v>
      </c>
      <c r="O34" s="4">
        <v>1</v>
      </c>
      <c r="Q34" t="s">
        <v>36</v>
      </c>
      <c r="R34" s="4">
        <v>0.20512820512820512</v>
      </c>
      <c r="S34" s="4">
        <v>0.79487179487179482</v>
      </c>
      <c r="T34" s="4">
        <v>1</v>
      </c>
    </row>
    <row r="35" spans="1:20" x14ac:dyDescent="0.3">
      <c r="A35">
        <v>30</v>
      </c>
      <c r="B35" s="3">
        <v>7</v>
      </c>
      <c r="C35" s="3">
        <v>20</v>
      </c>
      <c r="D35" s="3">
        <v>27</v>
      </c>
      <c r="F35" t="s">
        <v>26</v>
      </c>
      <c r="G35" s="4">
        <v>3.5714285714285712E-2</v>
      </c>
      <c r="H35" s="4">
        <v>0.9642857142857143</v>
      </c>
      <c r="I35" s="4">
        <v>1</v>
      </c>
      <c r="L35" t="s">
        <v>30</v>
      </c>
      <c r="M35" s="4">
        <v>0.12</v>
      </c>
      <c r="N35" s="4">
        <v>0.88</v>
      </c>
      <c r="O35" s="4">
        <v>1</v>
      </c>
      <c r="Q35" t="s">
        <v>37</v>
      </c>
      <c r="R35" s="4">
        <v>0</v>
      </c>
      <c r="S35" s="4">
        <v>1</v>
      </c>
      <c r="T35" s="4">
        <v>1</v>
      </c>
    </row>
    <row r="36" spans="1:20" x14ac:dyDescent="0.3">
      <c r="A36">
        <v>31</v>
      </c>
      <c r="B36" s="3"/>
      <c r="C36" s="3">
        <v>2</v>
      </c>
      <c r="D36" s="3">
        <v>2</v>
      </c>
      <c r="F36" t="s">
        <v>30</v>
      </c>
      <c r="G36" s="4">
        <v>0.12</v>
      </c>
      <c r="H36" s="4">
        <v>0.88</v>
      </c>
      <c r="I36" s="4">
        <v>1</v>
      </c>
      <c r="Q36" t="s">
        <v>38</v>
      </c>
      <c r="R36" s="4">
        <v>0</v>
      </c>
      <c r="S36" s="4">
        <v>1</v>
      </c>
      <c r="T36" s="4">
        <v>1</v>
      </c>
    </row>
    <row r="37" spans="1:20" x14ac:dyDescent="0.3">
      <c r="A37">
        <v>32</v>
      </c>
      <c r="B37" s="3">
        <v>3</v>
      </c>
      <c r="C37" s="3">
        <v>14</v>
      </c>
      <c r="D37" s="3">
        <v>17</v>
      </c>
      <c r="Q37" t="s">
        <v>39</v>
      </c>
      <c r="R37" s="4">
        <v>0.25</v>
      </c>
      <c r="S37" s="4">
        <v>0.75</v>
      </c>
      <c r="T37" s="4">
        <v>1</v>
      </c>
    </row>
    <row r="38" spans="1:20" x14ac:dyDescent="0.3">
      <c r="A38">
        <v>33</v>
      </c>
      <c r="B38" s="3"/>
      <c r="C38" s="3">
        <v>7</v>
      </c>
      <c r="D38" s="3">
        <v>7</v>
      </c>
      <c r="Q38" t="s">
        <v>30</v>
      </c>
      <c r="R38" s="4">
        <v>0.12</v>
      </c>
      <c r="S38" s="4">
        <v>0.88</v>
      </c>
      <c r="T38" s="4">
        <v>1</v>
      </c>
    </row>
    <row r="39" spans="1:20" x14ac:dyDescent="0.3">
      <c r="A39">
        <v>34</v>
      </c>
      <c r="B39" s="3"/>
      <c r="C39" s="3">
        <v>1</v>
      </c>
      <c r="D39" s="3">
        <v>1</v>
      </c>
    </row>
    <row r="40" spans="1:20" x14ac:dyDescent="0.3">
      <c r="A40">
        <v>35</v>
      </c>
      <c r="B40" s="3">
        <v>1</v>
      </c>
      <c r="C40" s="3">
        <v>3</v>
      </c>
      <c r="D40" s="3">
        <v>4</v>
      </c>
    </row>
    <row r="41" spans="1:20" x14ac:dyDescent="0.3">
      <c r="A41">
        <v>36</v>
      </c>
      <c r="B41" s="3"/>
      <c r="C41" s="3">
        <v>2</v>
      </c>
      <c r="D41" s="3">
        <v>2</v>
      </c>
    </row>
    <row r="42" spans="1:20" x14ac:dyDescent="0.3">
      <c r="A42" t="s">
        <v>30</v>
      </c>
      <c r="B42" s="3">
        <v>12</v>
      </c>
      <c r="C42" s="3">
        <v>88</v>
      </c>
      <c r="D42" s="3">
        <v>100</v>
      </c>
    </row>
    <row r="63" spans="2:2" x14ac:dyDescent="0.3">
      <c r="B63" s="3"/>
    </row>
    <row r="64" spans="2:2" x14ac:dyDescent="0.3">
      <c r="B64" s="3"/>
    </row>
    <row r="65" spans="2:2" x14ac:dyDescent="0.3">
      <c r="B65" s="3"/>
    </row>
  </sheetData>
  <pageMargins left="0.7" right="0.7" top="0.75" bottom="0.75" header="0.3" footer="0.3"/>
  <pageSetup orientation="portrait" horizontalDpi="0" verticalDpi="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7"/>
  <sheetViews>
    <sheetView showGridLines="0" showRowColHeaders="0" tabSelected="1" zoomScale="81" zoomScaleNormal="90" workbookViewId="0">
      <selection activeCell="J39" sqref="J39"/>
    </sheetView>
  </sheetViews>
  <sheetFormatPr defaultRowHeight="14.4" x14ac:dyDescent="0.3"/>
  <sheetData>
    <row r="1" spans="1:26" x14ac:dyDescent="0.3">
      <c r="A1" s="2"/>
      <c r="B1" s="2"/>
      <c r="C1" s="2"/>
      <c r="D1" s="2"/>
      <c r="E1" s="2"/>
      <c r="F1" s="7" t="s">
        <v>41</v>
      </c>
      <c r="G1" s="6"/>
      <c r="H1" s="6"/>
      <c r="I1" s="6"/>
      <c r="J1" s="6"/>
      <c r="K1" s="6"/>
      <c r="L1" s="6"/>
      <c r="M1" s="6"/>
      <c r="N1" s="6"/>
      <c r="O1" s="6"/>
      <c r="P1" s="6"/>
      <c r="Q1" s="6"/>
      <c r="R1" s="2"/>
      <c r="S1" s="2"/>
      <c r="T1" s="2"/>
      <c r="U1" s="2"/>
      <c r="V1" s="2"/>
      <c r="W1" s="2"/>
      <c r="X1" s="5"/>
      <c r="Y1" s="5"/>
      <c r="Z1" s="5"/>
    </row>
    <row r="2" spans="1:26" x14ac:dyDescent="0.3">
      <c r="A2" s="2"/>
      <c r="B2" s="2"/>
      <c r="C2" s="2"/>
      <c r="D2" s="2"/>
      <c r="E2" s="2"/>
      <c r="F2" s="6"/>
      <c r="G2" s="6"/>
      <c r="H2" s="6"/>
      <c r="I2" s="6"/>
      <c r="J2" s="6"/>
      <c r="K2" s="6"/>
      <c r="L2" s="6"/>
      <c r="M2" s="6"/>
      <c r="N2" s="6"/>
      <c r="O2" s="6"/>
      <c r="P2" s="6"/>
      <c r="Q2" s="6"/>
      <c r="R2" s="2"/>
      <c r="S2" s="2"/>
      <c r="T2" s="2"/>
      <c r="U2" s="2"/>
      <c r="V2" s="2"/>
      <c r="W2" s="2"/>
      <c r="X2" s="5"/>
      <c r="Y2" s="5"/>
      <c r="Z2" s="5"/>
    </row>
    <row r="3" spans="1:26" x14ac:dyDescent="0.3">
      <c r="A3" s="2"/>
      <c r="B3" s="2"/>
      <c r="C3" s="2"/>
      <c r="D3" s="2"/>
      <c r="E3" s="2"/>
      <c r="F3" s="6"/>
      <c r="G3" s="6"/>
      <c r="H3" s="6"/>
      <c r="I3" s="6"/>
      <c r="J3" s="6"/>
      <c r="K3" s="6"/>
      <c r="L3" s="6"/>
      <c r="M3" s="6"/>
      <c r="N3" s="6"/>
      <c r="O3" s="6"/>
      <c r="P3" s="6"/>
      <c r="Q3" s="6"/>
      <c r="R3" s="2"/>
      <c r="S3" s="2"/>
      <c r="T3" s="2"/>
      <c r="U3" s="2"/>
      <c r="V3" s="2"/>
      <c r="W3" s="2"/>
      <c r="X3" s="5"/>
      <c r="Y3" s="5"/>
      <c r="Z3" s="5"/>
    </row>
    <row r="10" spans="1:26" x14ac:dyDescent="0.3">
      <c r="E10" t="s">
        <v>40</v>
      </c>
    </row>
    <row r="37" spans="1:26" x14ac:dyDescent="0.3">
      <c r="A37" s="5"/>
      <c r="W37" s="5"/>
      <c r="Z37" s="5"/>
    </row>
  </sheetData>
  <sheetProtection sheet="1" objects="1" scenarios="1" selectLockedCells="1" pivotTables="0" selectUnlockedCells="1"/>
  <mergeCells count="1">
    <mergeCell ref="F1:Q3"/>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Fertility_Data</vt:lpstr>
      <vt:lpstr>Supporting Pivots</vt:lpstr>
      <vt:lpstr>Fertility_Dashboard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MAXWELL</dc:creator>
  <cp:keywords/>
  <dc:description/>
  <cp:lastModifiedBy>MAXWELL</cp:lastModifiedBy>
  <cp:revision/>
  <dcterms:created xsi:type="dcterms:W3CDTF">2026-08-18T17:08:18Z</dcterms:created>
  <dcterms:modified xsi:type="dcterms:W3CDTF">2026-10-02T18:52:44Z</dcterms:modified>
  <cp:category/>
  <cp:contentStatus/>
</cp:coreProperties>
</file>